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odel QF-A" sheetId="2" state="visible" r:id="rId4"/>
    <sheet name="Model QF-B" sheetId="3" state="visible" r:id="rId5"/>
    <sheet name="Pricing" sheetId="4" state="visible" r:id="rId6"/>
    <sheet name="Reconciliation" sheetId="5" state="visible" r:id="rId7"/>
    <sheet name="Other AI picks priced" sheetId="6" state="visible" r:id="rId8"/>
    <sheet name="Backtest variants" sheetId="7" state="visible" r:id="rId9"/>
    <sheet name="Backtest form-H2H" sheetId="8" state="visible" r:id="rId10"/>
    <sheet name="Calib derivatives sd06" sheetId="9" state="visible" r:id="rId11"/>
    <sheet name="Calib derivatives sd085" sheetId="10" state="visible" r:id="rId12"/>
    <sheet name="Calib winner deciles" sheetId="11" state="visible" r:id="rId13"/>
    <sheet name="Charting analytics" sheetId="12" state="visible" r:id="rId14"/>
    <sheet name="Shanghai week form" sheetId="13" state="visible" r:id="rId15"/>
    <sheet name="Zverev vs elite returners" sheetId="14" state="visible" r:id="rId16"/>
    <sheet name="H2H Zverev-de Minaur" sheetId="15" state="visible" r:id="rId17"/>
    <sheet name="Markets" sheetId="16" state="visible" r:id="rId18"/>
    <sheet name="Waterfall + inversion" sheetId="17" state="visible" r:id="rId19"/>
    <sheet name="Total games dist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<sst xmlns="http://schemas.openxmlformats.org/spreadsheetml/2006/main" count="1321" uniqueCount="667">
  <si>
    <t xml:space="preserve">Deep Sports Engine - Shanghai 2026 QF model workbook (built 2026-10-15)</t>
  </si>
  <si>
    <t xml:space="preserve">Model tabs: blue cells are inputs; every other number is a live formula (hold, 7-pt tiebreak DP, set DP, Bo3, mixture, shrink, blend).</t>
  </si>
  <si>
    <t xml:space="preserve">Pricing tab: type the current DraftKings price into column F; EV, break-even and quarter-Kelly recalculate.</t>
  </si>
  <si>
    <t xml:space="preserve">Raw tabs: walk-forward backtest (1,667 hard Bo3 tour-level matches, 2025-01-06..2026-09-30), calibration, form, H2H, charting analytics, markets.</t>
  </si>
  <si>
    <t xml:space="preserve">Data: TML database (2023-01..2026-01, exact counts), Tennis Abstract 2026 tournament tables via Exa (17 hard events; serve points estimated from score),</t>
  </si>
  <si>
    <t xml:space="preserve">      Shanghai 2026 match stats (tennis.com / ATP Infosys, DeepCourt), Match Charting Project points (last charted 2026-05-21).</t>
  </si>
  <si>
    <t xml:space="preserve">Model probabilities in Pricing come from the re-centred 60,000-sim Monte Carlo (day-form sd 0.06) and are values, not formulas.</t>
  </si>
  <si>
    <t xml:space="preserve">21+, 1-800-GAMBLER; not betting advice.</t>
  </si>
  <si>
    <t xml:space="preserve">QF-A: Arthur Gea vs Alejandro Davidovich Fokina - editable model (blue = input; everything else is a live formula)</t>
  </si>
  <si>
    <t xml:space="preserve">DP grids (rows = A points/games, cols = B) - live formulas</t>
  </si>
  <si>
    <t xml:space="preserve">INPUTS</t>
  </si>
  <si>
    <t xml:space="preserve">Arthur Gea SPW vs Alejandro Davidovich Fokina from ridge (as of 2026-10-07)</t>
  </si>
  <si>
    <t xml:space="preserve">fit set 1: TB (A serves first)</t>
  </si>
  <si>
    <t xml:space="preserve">fit set 1: set (A serves first)</t>
  </si>
  <si>
    <t xml:space="preserve">Alejandro Davidovich Fokina SPW vs Arthur Gea from ridge</t>
  </si>
  <si>
    <t xml:space="preserve">Court pace (SPW, both players)</t>
  </si>
  <si>
    <t xml:space="preserve">Arthur Gea this-week serve residual (raw)</t>
  </si>
  <si>
    <t xml:space="preserve">Arthur Gea this-week return residual (raw)</t>
  </si>
  <si>
    <t xml:space="preserve">Alejandro Davidovich Fokina this-week serve residual (raw)</t>
  </si>
  <si>
    <t xml:space="preserve">Alejandro Davidovich Fokina this-week return residual (raw)</t>
  </si>
  <si>
    <t xml:space="preserve">Form weight (backtest best 0.10; spec 0.50)</t>
  </si>
  <si>
    <t xml:space="preserve">H2H weight, A serving = n/(n+1000)</t>
  </si>
  <si>
    <t xml:space="preserve">P(A wins TB)</t>
  </si>
  <si>
    <t xml:space="preserve">P(A wins set)</t>
  </si>
  <si>
    <t xml:space="preserve">H2H SPW, A serving (time-weighted)</t>
  </si>
  <si>
    <t xml:space="preserve">H2H weight, B serving</t>
  </si>
  <si>
    <t xml:space="preserve">fit set 2: TB (A serves first)</t>
  </si>
  <si>
    <t xml:space="preserve">fit set 2: set (A serves first)</t>
  </si>
  <si>
    <t xml:space="preserve">H2H SPW, B serving</t>
  </si>
  <si>
    <t xml:space="preserve">P(limited) (n/a: 0)</t>
  </si>
  <si>
    <t xml:space="preserve">Limited: serve hit set 1</t>
  </si>
  <si>
    <t xml:space="preserve">Limited: serve hit set 2</t>
  </si>
  <si>
    <t xml:space="preserve">Limited: serve hit set 3</t>
  </si>
  <si>
    <t xml:space="preserve">Limited: opponent SPW up set 1</t>
  </si>
  <si>
    <t xml:space="preserve">Limited: opponent SPW up set 2</t>
  </si>
  <si>
    <t xml:space="preserve">Limited: opponent SPW up set 3</t>
  </si>
  <si>
    <t xml:space="preserve">Limited player is A? (1 = A, 0 = B)</t>
  </si>
  <si>
    <t xml:space="preserve">Set-3 fatigue: opponent SPW up in set 3 (ADF return, QF-A)</t>
  </si>
  <si>
    <t xml:space="preserve">fit set 3: TB (A serves first)</t>
  </si>
  <si>
    <t xml:space="preserve">fit set 3: set (A serves first)</t>
  </si>
  <si>
    <t xml:space="preserve">Fatigued player is B? (1 = B tired -&gt; A SPW up)</t>
  </si>
  <si>
    <t xml:space="preserve">Winner shrink k (walk-forward backtest)</t>
  </si>
  <si>
    <t xml:space="preserve">Market consensus P(A) no-vig (edit)</t>
  </si>
  <si>
    <t xml:space="preserve">Gemini blind P(A)</t>
  </si>
  <si>
    <t xml:space="preserve">Grok blind P(A)</t>
  </si>
  <si>
    <t xml:space="preserve">Pool weight Claude</t>
  </si>
  <si>
    <t xml:space="preserve">Pool weight Gemini</t>
  </si>
  <si>
    <t xml:space="preserve">Pool weight Grok</t>
  </si>
  <si>
    <t xml:space="preserve">CALCULATIONS</t>
  </si>
  <si>
    <t xml:space="preserve">limited set 1: TB (A serves first)</t>
  </si>
  <si>
    <t xml:space="preserve">limited set 1: set (A serves first)</t>
  </si>
  <si>
    <t xml:space="preserve">A SPW fit state</t>
  </si>
  <si>
    <t xml:space="preserve">B SPW fit state</t>
  </si>
  <si>
    <t xml:space="preserve">A SPW after H2H blend</t>
  </si>
  <si>
    <t xml:space="preserve">B SPW after H2H blend</t>
  </si>
  <si>
    <t xml:space="preserve">Per-set SPW</t>
  </si>
  <si>
    <t xml:space="preserve">Set 1</t>
  </si>
  <si>
    <t xml:space="preserve">Set 2</t>
  </si>
  <si>
    <t xml:space="preserve">Set 3</t>
  </si>
  <si>
    <t xml:space="preserve">A SPW (fit)</t>
  </si>
  <si>
    <t xml:space="preserve">B SPW (fit)</t>
  </si>
  <si>
    <t xml:space="preserve">A SPW (limited)</t>
  </si>
  <si>
    <t xml:space="preserve">B SPW (limited)</t>
  </si>
  <si>
    <t xml:space="preserve">limited set 2: TB (A serves first)</t>
  </si>
  <si>
    <t xml:space="preserve">limited set 2: set (A serves first)</t>
  </si>
  <si>
    <t xml:space="preserve">RESULTS</t>
  </si>
  <si>
    <t xml:space="preserve">P(A wins match), fit state (iid)</t>
  </si>
  <si>
    <t xml:space="preserve">P(A wins match), limited state (iid)</t>
  </si>
  <si>
    <t xml:space="preserve">P(A) iid mixture</t>
  </si>
  <si>
    <t xml:space="preserve">P(A) BLIND = shrink(mixture)</t>
  </si>
  <si>
    <t xml:space="preserve">P(A) POOLED blind (Claude/Gemini/Grok, log-odds)</t>
  </si>
  <si>
    <t xml:space="preserve">P(A) FINAL = 50/50 log-odds blend of pooled blind with market</t>
  </si>
  <si>
    <t xml:space="preserve">Fair American odds A (final)</t>
  </si>
  <si>
    <t xml:space="preserve">Python check: blind P(A) (exact engine)</t>
  </si>
  <si>
    <t xml:space="preserve">limited set 3: TB (A serves first)</t>
  </si>
  <si>
    <t xml:space="preserve">limited set 3: set (A serves first)</t>
  </si>
  <si>
    <t xml:space="preserve">Python check: final P(A)</t>
  </si>
  <si>
    <t xml:space="preserve">QF-B: Alexander Zverev vs Alex de Minaur - editable model (blue = input; everything else is a live formula)</t>
  </si>
  <si>
    <t xml:space="preserve">Alexander Zverev SPW vs Alex de Minaur from ridge (as of 2026-10-07)</t>
  </si>
  <si>
    <t xml:space="preserve">Alex de Minaur SPW vs Alexander Zverev from ridge</t>
  </si>
  <si>
    <t xml:space="preserve">Alexander Zverev this-week serve residual (raw)</t>
  </si>
  <si>
    <t xml:space="preserve">Alexander Zverev this-week return residual (raw)</t>
  </si>
  <si>
    <t xml:space="preserve">Alex de Minaur this-week serve residual (raw)</t>
  </si>
  <si>
    <t xml:space="preserve">Alex de Minaur this-week return residual (raw)</t>
  </si>
  <si>
    <t xml:space="preserve">P(limited) physical state (Zverev ankle)</t>
  </si>
  <si>
    <t xml:space="preserve">Price ladder - enter the CURRENT DraftKings price in column F (blue). EV, break-even and 1/4 Kelly (cap 2%) recalculate.</t>
  </si>
  <si>
    <t xml:space="preserve">Match</t>
  </si>
  <si>
    <t xml:space="preserve">Market</t>
  </si>
  <si>
    <t xml:space="preserve">Selection</t>
  </si>
  <si>
    <t xml:space="preserve">Model P</t>
  </si>
  <si>
    <t xml:space="preserve">Fair odds</t>
  </si>
  <si>
    <t xml:space="preserve">DK price (enter)</t>
  </si>
  <si>
    <t xml:space="preserve">Price source</t>
  </si>
  <si>
    <t xml:space="preserve">Break-even</t>
  </si>
  <si>
    <t xml:space="preserve">EV per $1</t>
  </si>
  <si>
    <t xml:space="preserve">1/4 Kelly (cap 2%)</t>
  </si>
  <si>
    <t xml:space="preserve">Take at (EV&gt;=2.5%)</t>
  </si>
  <si>
    <t xml:space="preserve">Bet?</t>
  </si>
  <si>
    <t xml:space="preserve">QF-A</t>
  </si>
  <si>
    <t xml:space="preserve">Moneyline</t>
  </si>
  <si>
    <t xml:space="preserve">Arthur Gea</t>
  </si>
  <si>
    <t xml:space="preserve">DK ML via Dimers (search-reported)</t>
  </si>
  <si>
    <t xml:space="preserve">Alejandro Davidovich Fokina</t>
  </si>
  <si>
    <t xml:space="preserve">Set spread</t>
  </si>
  <si>
    <t xml:space="preserve">Arthur Gea -1.5 sets</t>
  </si>
  <si>
    <t xml:space="preserve">enter DK price</t>
  </si>
  <si>
    <t xml:space="preserve">Alejandro Davidovich Fokina +1.5 sets</t>
  </si>
  <si>
    <t xml:space="preserve">Alejandro Davidovich Fokina -1.5 sets</t>
  </si>
  <si>
    <t xml:space="preserve">Arthur Gea +1.5 sets</t>
  </si>
  <si>
    <t xml:space="preserve">Total sets</t>
  </si>
  <si>
    <t xml:space="preserve">Over 2.5 (3 sets)</t>
  </si>
  <si>
    <t xml:space="preserve">Oddset 2.25 (not DK)</t>
  </si>
  <si>
    <t xml:space="preserve">Under 2.5 (2 sets)</t>
  </si>
  <si>
    <t xml:space="preserve">Total games</t>
  </si>
  <si>
    <t xml:space="preserve">Over 20.5</t>
  </si>
  <si>
    <t xml:space="preserve">Under 20.5</t>
  </si>
  <si>
    <t xml:space="preserve">Over 21.5</t>
  </si>
  <si>
    <t xml:space="preserve">Under 21.5</t>
  </si>
  <si>
    <t xml:space="preserve">Over 22.5</t>
  </si>
  <si>
    <t xml:space="preserve">Sportskeeda, book unnamed</t>
  </si>
  <si>
    <t xml:space="preserve">Under 22.5</t>
  </si>
  <si>
    <t xml:space="preserve">Over 23.5</t>
  </si>
  <si>
    <t xml:space="preserve">Under 23.5</t>
  </si>
  <si>
    <t xml:space="preserve">Over 24.5</t>
  </si>
  <si>
    <t xml:space="preserve">Under 24.5</t>
  </si>
  <si>
    <t xml:space="preserve">Game spread</t>
  </si>
  <si>
    <t xml:space="preserve">Arthur Gea -1.5</t>
  </si>
  <si>
    <t xml:space="preserve">Alejandro Davidovich Fokina +1.5</t>
  </si>
  <si>
    <t xml:space="preserve">Alejandro Davidovich Fokina -1.5</t>
  </si>
  <si>
    <t xml:space="preserve">Arthur Gea +1.5</t>
  </si>
  <si>
    <t xml:space="preserve">Arthur Gea -2.5</t>
  </si>
  <si>
    <t xml:space="preserve">Alejandro Davidovich Fokina +2.5</t>
  </si>
  <si>
    <t xml:space="preserve">Alejandro Davidovich Fokina -2.5</t>
  </si>
  <si>
    <t xml:space="preserve">Arthur Gea +2.5</t>
  </si>
  <si>
    <t xml:space="preserve">Arthur Gea -3.5</t>
  </si>
  <si>
    <t xml:space="preserve">Alejandro Davidovich Fokina +3.5</t>
  </si>
  <si>
    <t xml:space="preserve">Alejandro Davidovich Fokina -3.5</t>
  </si>
  <si>
    <t xml:space="preserve">Arthur Gea +3.5</t>
  </si>
  <si>
    <t xml:space="preserve">Tiebreak in match</t>
  </si>
  <si>
    <t xml:space="preserve">Yes</t>
  </si>
  <si>
    <t xml:space="preserve">No</t>
  </si>
  <si>
    <t xml:space="preserve">Set 1 winner</t>
  </si>
  <si>
    <t xml:space="preserve">Correct score (sets)</t>
  </si>
  <si>
    <t xml:space="preserve">Arthur Gea 2-0</t>
  </si>
  <si>
    <t xml:space="preserve">Alejandro Davidovich Fokina 2-0</t>
  </si>
  <si>
    <t xml:space="preserve">Arthur Gea 2-1</t>
  </si>
  <si>
    <t xml:space="preserve">Alejandro Davidovich Fokina 2-1</t>
  </si>
  <si>
    <t xml:space="preserve">QF-B</t>
  </si>
  <si>
    <t xml:space="preserve">Alexander Zverev</t>
  </si>
  <si>
    <t xml:space="preserve">Alex de Minaur</t>
  </si>
  <si>
    <t xml:space="preserve">Alexander Zverev -1.5 sets</t>
  </si>
  <si>
    <t xml:space="preserve">Alex de Minaur +1.5 sets</t>
  </si>
  <si>
    <t xml:space="preserve">Alex de Minaur -1.5 sets</t>
  </si>
  <si>
    <t xml:space="preserve">Alexander Zverev +1.5 sets</t>
  </si>
  <si>
    <t xml:space="preserve">BetMGM via Sportskeeda</t>
  </si>
  <si>
    <t xml:space="preserve">Alexander Zverev -1.5</t>
  </si>
  <si>
    <t xml:space="preserve">Alex de Minaur +1.5</t>
  </si>
  <si>
    <t xml:space="preserve">Alex de Minaur -1.5</t>
  </si>
  <si>
    <t xml:space="preserve">Alexander Zverev +1.5</t>
  </si>
  <si>
    <t xml:space="preserve">Alexander Zverev -2.5</t>
  </si>
  <si>
    <t xml:space="preserve">bet365 Z -2.5 (not DK)</t>
  </si>
  <si>
    <t xml:space="preserve">Alex de Minaur +2.5</t>
  </si>
  <si>
    <t xml:space="preserve">Alex de Minaur -2.5</t>
  </si>
  <si>
    <t xml:space="preserve">Alexander Zverev +2.5</t>
  </si>
  <si>
    <t xml:space="preserve">Alexander Zverev -3.5</t>
  </si>
  <si>
    <t xml:space="preserve">Alex de Minaur +3.5</t>
  </si>
  <si>
    <t xml:space="preserve">Alex de Minaur -3.5</t>
  </si>
  <si>
    <t xml:space="preserve">Alexander Zverev +3.5</t>
  </si>
  <si>
    <t xml:space="preserve">Alexander Zverev 2-0</t>
  </si>
  <si>
    <t xml:space="preserve">Alex de Minaur 2-0</t>
  </si>
  <si>
    <t xml:space="preserve">Alexander Zverev 2-1</t>
  </si>
  <si>
    <t xml:space="preserve">Alex de Minaur 2-1</t>
  </si>
  <si>
    <t xml:space="preserve">Same-game parlays (joint probability from the 60k simulation; never the naive product)</t>
  </si>
  <si>
    <t xml:space="preserve">SGP</t>
  </si>
  <si>
    <t xml:space="preserve">Joint P</t>
  </si>
  <si>
    <t xml:space="preserve">Naive product</t>
  </si>
  <si>
    <t xml:space="preserve">DK SGP price (enter)</t>
  </si>
  <si>
    <t xml:space="preserve">Take at (EV&gt;=5%)</t>
  </si>
  <si>
    <t xml:space="preserve">Alejandro Davidovich Fokina +1.5 sets &amp; Over 20.5</t>
  </si>
  <si>
    <t xml:space="preserve">Arthur Gea +1.5 sets &amp; Over 20.5</t>
  </si>
  <si>
    <t xml:space="preserve">Alejandro Davidovich Fokina +1.5 sets &amp; Over 21.5</t>
  </si>
  <si>
    <t xml:space="preserve">Arthur Gea +1.5 sets &amp; Over 21.5</t>
  </si>
  <si>
    <t xml:space="preserve">Alejandro Davidovich Fokina +1.5 sets &amp; Over 22.5</t>
  </si>
  <si>
    <t xml:space="preserve">Arthur Gea +1.5 sets &amp; Over 22.5</t>
  </si>
  <si>
    <t xml:space="preserve">Tiebreak Yes &amp; Over 22.5</t>
  </si>
  <si>
    <t xml:space="preserve">Alejandro Davidovich Fokina +3.5 games &amp; Alejandro Davidovich Fokina +1.5 sets</t>
  </si>
  <si>
    <t xml:space="preserve">Arthur Gea +3.5 games &amp; Arthur Gea +1.5 sets</t>
  </si>
  <si>
    <t xml:space="preserve">Arthur Gea ML &amp; Over 21.5</t>
  </si>
  <si>
    <t xml:space="preserve">Alejandro Davidovich Fokina ML &amp; Over 21.5</t>
  </si>
  <si>
    <t xml:space="preserve">Under 2.5 sets &amp; Under 23.5</t>
  </si>
  <si>
    <t xml:space="preserve">Alex de Minaur +1.5 sets &amp; Over 20.5</t>
  </si>
  <si>
    <t xml:space="preserve">Alexander Zverev +1.5 sets &amp; Over 20.5</t>
  </si>
  <si>
    <t xml:space="preserve">Alex de Minaur +1.5 sets &amp; Over 21.5</t>
  </si>
  <si>
    <t xml:space="preserve">Alexander Zverev +1.5 sets &amp; Over 21.5</t>
  </si>
  <si>
    <t xml:space="preserve">Alex de Minaur +1.5 sets &amp; Over 22.5</t>
  </si>
  <si>
    <t xml:space="preserve">Alexander Zverev +1.5 sets &amp; Over 22.5</t>
  </si>
  <si>
    <t xml:space="preserve">Alex de Minaur +3.5 games &amp; Alex de Minaur +1.5 sets</t>
  </si>
  <si>
    <t xml:space="preserve">Alexander Zverev +3.5 games &amp; Alexander Zverev +1.5 sets</t>
  </si>
  <si>
    <t xml:space="preserve">Alexander Zverev ML &amp; Over 21.5</t>
  </si>
  <si>
    <t xml:space="preserve">Alex de Minaur ML &amp; Over 21.5</t>
  </si>
  <si>
    <t xml:space="preserve">Step 9: grades (0-10), pool weights (start 0.6/0.2/0.2), pooled blind and final; P(A) = Gea (QF-A), Zverev (QF-B)</t>
  </si>
  <si>
    <t xml:space="preserve">match</t>
  </si>
  <si>
    <t xml:space="preserve">ai</t>
  </si>
  <si>
    <t xml:space="preserve">blind_pA</t>
  </si>
  <si>
    <t xml:space="preserve">weight</t>
  </si>
  <si>
    <t xml:space="preserve">facts</t>
  </si>
  <si>
    <t xml:space="preserve">opponent_adjustment</t>
  </si>
  <si>
    <t xml:space="preserve">calibration</t>
  </si>
  <si>
    <t xml:space="preserve">real_prices</t>
  </si>
  <si>
    <t xml:space="preserve">ev</t>
  </si>
  <si>
    <t xml:space="preserve">audit_notes</t>
  </si>
  <si>
    <t xml:space="preserve">Claude</t>
  </si>
  <si>
    <t xml:space="preserve">walk-forward backtest n=1667; verified inputs; DK derivative prices unverified</t>
  </si>
  <si>
    <t xml:space="preserve">Gemini</t>
  </si>
  <si>
    <t xml:space="preserve">ankle side/timing wrong (left ankle was the Wu dive; Halys/Bublik = right); ADF set-3 serve decay claim contradicted (set-3 SPW 68.8% vs 64.2%); de Minaur faced 1 BP vs Khachanov, not 0; 52-wk SPW table implausible (ADF 69.7%, de Minaur 58.9%); DK derivative prices tagged [INFERENCE]; near-identical derivative tables for both matches again (TB 39.4/39.2, games 23.18/23.21, same modal 6-3 6-4); SGP joint P 42.8% vs 29.8% (negatively correlated legs)</t>
  </si>
  <si>
    <t xml:space="preserve">Grok</t>
  </si>
  <si>
    <t xml:space="preserve">checkable facts correct and sourced; no computed model (ranges); modal given as set score not exact score; both high-hit picks negative EV (ADF -116 at 53%: -1.3%; Zverev -200 at 55%: -17.5%); value Gea +100 at 47% is -6% EV, not positive</t>
  </si>
  <si>
    <t xml:space="preserve">POOLED blind</t>
  </si>
  <si>
    <t xml:space="preserve">consensus 0.4698 -&gt; FINAL 0.5031 (pre-reconciliation 0.5093)</t>
  </si>
  <si>
    <t xml:space="preserve">consensus 0.6415 -&gt; FINAL 0.5859 (pre-reconciliation 0.5795)</t>
  </si>
  <si>
    <t xml:space="preserve">Every AI's picks priced on the same re-centred 60k simulation; prices for Gemini derivatives are its own [INFERENCE] numbers, not DK quotes</t>
  </si>
  <si>
    <t xml:space="preserve">source</t>
  </si>
  <si>
    <t xml:space="preserve">pick</t>
  </si>
  <si>
    <t xml:space="preserve">p</t>
  </si>
  <si>
    <t xml:space="preserve">fair</t>
  </si>
  <si>
    <t xml:space="preserve">take_at</t>
  </si>
  <si>
    <t xml:space="preserve">price</t>
  </si>
  <si>
    <t xml:space="preserve">kelly</t>
  </si>
  <si>
    <t xml:space="preserve">Gea +1.5 sets</t>
  </si>
  <si>
    <t xml:space="preserve">ADF ML (high-hit)</t>
  </si>
  <si>
    <t xml:space="preserve">Claude/Gemini/Grok</t>
  </si>
  <si>
    <t xml:space="preserve">Gea ML (value)</t>
  </si>
  <si>
    <t xml:space="preserve">Gea ML (value) @ +102</t>
  </si>
  <si>
    <t xml:space="preserve">SGP Gea +1.5 sets + Over 20.5</t>
  </si>
  <si>
    <t xml:space="preserve">SGP Gea +1.5 sets + Under 24.5</t>
  </si>
  <si>
    <t xml:space="preserve">SGP ADF ML + Over 22.5</t>
  </si>
  <si>
    <t xml:space="preserve">de Minaur +1.5 sets</t>
  </si>
  <si>
    <t xml:space="preserve">de Minaur +3.5 games</t>
  </si>
  <si>
    <t xml:space="preserve">Zverev ML (high-hit)</t>
  </si>
  <si>
    <t xml:space="preserve">de Minaur ML (value)</t>
  </si>
  <si>
    <t xml:space="preserve">de Minaur ML @ +176</t>
  </si>
  <si>
    <t xml:space="preserve">Claude/Gemini</t>
  </si>
  <si>
    <t xml:space="preserve">SGP de Minaur +1.5 sets + Over 21.5</t>
  </si>
  <si>
    <t xml:space="preserve">SGP Zverev ML + Under 25.5</t>
  </si>
  <si>
    <t xml:space="preserve">Walk-forward backtest, n=1667 hard Bo3 tour-level, 2025-01-06..2026-09-30</t>
  </si>
  <si>
    <t xml:space="preserve">method</t>
  </si>
  <si>
    <t xml:space="preserve">acc</t>
  </si>
  <si>
    <t xml:space="preserve">brier</t>
  </si>
  <si>
    <t xml:space="preserve">logloss</t>
  </si>
  <si>
    <t xml:space="preserve">ll_2026</t>
  </si>
  <si>
    <t xml:space="preserve">P3</t>
  </si>
  <si>
    <t xml:space="preserve">TB</t>
  </si>
  <si>
    <t xml:space="preserve">games</t>
  </si>
  <si>
    <t xml:space="preserve">dayform sd=0.0</t>
  </si>
  <si>
    <t xml:space="preserve">dayform sd=0.04</t>
  </si>
  <si>
    <t xml:space="preserve">dayform sd=0.06</t>
  </si>
  <si>
    <t xml:space="preserve">dayform sd=0.085</t>
  </si>
  <si>
    <t xml:space="preserve">dayform sd=0.1</t>
  </si>
  <si>
    <t xml:space="preserve">dayform sd=0.12</t>
  </si>
  <si>
    <t xml:space="preserve">iid + shrink k=0.58 (fit 2025; all k=0.59)</t>
  </si>
  <si>
    <t xml:space="preserve">iid + shrink k=0.6 (fixed)</t>
  </si>
  <si>
    <t xml:space="preserve">iid + shrink k=0.71 (fixed)</t>
  </si>
  <si>
    <t xml:space="preserve">iid + shrink k=0.74 (fixed)</t>
  </si>
  <si>
    <t xml:space="preserve">coin flip</t>
  </si>
  <si>
    <t xml:space="preserve">Form weight x H2H blend (day-form sd 0.085)</t>
  </si>
  <si>
    <t xml:space="preserve">h2h</t>
  </si>
  <si>
    <t xml:space="preserve">form_w</t>
  </si>
  <si>
    <t xml:space="preserve">ll_bothform</t>
  </si>
  <si>
    <t xml:space="preserve">n_bothform</t>
  </si>
  <si>
    <t xml:space="preserve">ll_h2h_sub</t>
  </si>
  <si>
    <t xml:space="preserve">n_h2h</t>
  </si>
  <si>
    <t xml:space="preserve">Sets / tiebreak / games calibration at day-form sd 0.06</t>
  </si>
  <si>
    <t xml:space="preserve">group</t>
  </si>
  <si>
    <t xml:space="preserve">n</t>
  </si>
  <si>
    <t xml:space="preserve">P3_pred</t>
  </si>
  <si>
    <t xml:space="preserve">P3_act</t>
  </si>
  <si>
    <t xml:space="preserve">TB_pred</t>
  </si>
  <si>
    <t xml:space="preserve">TB_act</t>
  </si>
  <si>
    <t xml:space="preserve">games_pred</t>
  </si>
  <si>
    <t xml:space="preserve">games_act</t>
  </si>
  <si>
    <t xml:space="preserve">Pover22_5_pred</t>
  </si>
  <si>
    <t xml:space="preserve">Pover22_5_act</t>
  </si>
  <si>
    <t xml:space="preserve">all</t>
  </si>
  <si>
    <t xml:space="preserve">sum&gt;=1.36</t>
  </si>
  <si>
    <t xml:space="preserve">both&gt;=0.68</t>
  </si>
  <si>
    <t xml:space="preserve">close &amp; sum&gt;=1.34</t>
  </si>
  <si>
    <t xml:space="preserve">1.30&lt;=sum&lt;1.36</t>
  </si>
  <si>
    <t xml:space="preserve">sum&lt;1.26</t>
  </si>
  <si>
    <t xml:space="preserve">Same at sd 0.085 (your Lesson-12 setting)</t>
  </si>
  <si>
    <t xml:space="preserve">1.26&lt;=sum&lt;1.36</t>
  </si>
  <si>
    <t xml:space="preserve">Winner calibration by decile (favourite side)</t>
  </si>
  <si>
    <t xml:space="preserve">b</t>
  </si>
  <si>
    <t xml:space="preserve">pred</t>
  </si>
  <si>
    <t xml:space="preserve">act</t>
  </si>
  <si>
    <t xml:space="preserve">(0.499, 0.519]</t>
  </si>
  <si>
    <t xml:space="preserve">(0.519, 0.538]</t>
  </si>
  <si>
    <t xml:space="preserve">(0.538, 0.556]</t>
  </si>
  <si>
    <t xml:space="preserve">(0.556, 0.579]</t>
  </si>
  <si>
    <t xml:space="preserve">(0.579, 0.607]</t>
  </si>
  <si>
    <t xml:space="preserve">(0.607, 0.631]</t>
  </si>
  <si>
    <t xml:space="preserve">(0.631, 0.661]</t>
  </si>
  <si>
    <t xml:space="preserve">(0.661, 0.695]</t>
  </si>
  <si>
    <t xml:space="preserve">(0.695, 0.738]</t>
  </si>
  <si>
    <t xml:space="preserve">(0.738, 0.945]</t>
  </si>
  <si>
    <t xml:space="preserve">Match Charting Project, hard, 2024-05-21..2026-05-21 (Gea: 0 charted points)</t>
  </si>
  <si>
    <t xml:space="preserve">stat</t>
  </si>
  <si>
    <t xml:space="preserve">Alex De Minaur</t>
  </si>
  <si>
    <t xml:space="preserve">charted_matches</t>
  </si>
  <si>
    <t xml:space="preserve">34</t>
  </si>
  <si>
    <t xml:space="preserve">39</t>
  </si>
  <si>
    <t xml:space="preserve">7</t>
  </si>
  <si>
    <t xml:space="preserve">date_range</t>
  </si>
  <si>
    <t xml:space="preserve">2024-08-08 to 2026-03-27</t>
  </si>
  <si>
    <t xml:space="preserve">2024-08-27 to 2026-02-15</t>
  </si>
  <si>
    <t xml:space="preserve">2024-08-08 to 2025-10-29</t>
  </si>
  <si>
    <t xml:space="preserve">serve_pts</t>
  </si>
  <si>
    <t xml:space="preserve">2548.0</t>
  </si>
  <si>
    <t xml:space="preserve">3067.0</t>
  </si>
  <si>
    <t xml:space="preserve">530.0</t>
  </si>
  <si>
    <t xml:space="preserve">return_pts</t>
  </si>
  <si>
    <t xml:space="preserve">2672.0</t>
  </si>
  <si>
    <t xml:space="preserve">3075.0</t>
  </si>
  <si>
    <t xml:space="preserve">543.0</t>
  </si>
  <si>
    <t xml:space="preserve">1st_in%</t>
  </si>
  <si>
    <t xml:space="preserve">70.80062794348508</t>
  </si>
  <si>
    <t xml:space="preserve">58.29801108575155</t>
  </si>
  <si>
    <t xml:space="preserve">61.698113207547166</t>
  </si>
  <si>
    <t xml:space="preserve">1st_won%</t>
  </si>
  <si>
    <t xml:space="preserve">75.8869179600887</t>
  </si>
  <si>
    <t xml:space="preserve">70.52572706935123</t>
  </si>
  <si>
    <t xml:space="preserve">65.4434250764526</t>
  </si>
  <si>
    <t xml:space="preserve">2nd_won%</t>
  </si>
  <si>
    <t xml:space="preserve">55.51075268817204</t>
  </si>
  <si>
    <t xml:space="preserve">54.7302580140735</t>
  </si>
  <si>
    <t xml:space="preserve">53.20197044334976</t>
  </si>
  <si>
    <t xml:space="preserve">ace%</t>
  </si>
  <si>
    <t xml:space="preserve">12.28414442700157</t>
  </si>
  <si>
    <t xml:space="preserve">5.314639713074666</t>
  </si>
  <si>
    <t xml:space="preserve">4.339622641509433</t>
  </si>
  <si>
    <t xml:space="preserve">DF%</t>
  </si>
  <si>
    <t xml:space="preserve">2.7864992150706436</t>
  </si>
  <si>
    <t xml:space="preserve">3.3257254646234107</t>
  </si>
  <si>
    <t xml:space="preserve">3.5849056603773586</t>
  </si>
  <si>
    <t xml:space="preserve">unret%</t>
  </si>
  <si>
    <t xml:space="preserve">35.00784929356358</t>
  </si>
  <si>
    <t xml:space="preserve">24.453863710466255</t>
  </si>
  <si>
    <t xml:space="preserve">21.88679245283019</t>
  </si>
  <si>
    <t xml:space="preserve">won_le3_shots%(of serve pts)</t>
  </si>
  <si>
    <t xml:space="preserve">42.3469387755102</t>
  </si>
  <si>
    <t xml:space="preserve">28.366481904140855</t>
  </si>
  <si>
    <t xml:space="preserve">27.358490566037734</t>
  </si>
  <si>
    <t xml:space="preserve">srv_won_1-4</t>
  </si>
  <si>
    <t xml:space="preserve">83.51577591757888</t>
  </si>
  <si>
    <t xml:space="preserve">78.60000000000001</t>
  </si>
  <si>
    <t xml:space="preserve">68.796992481203</t>
  </si>
  <si>
    <t xml:space="preserve">srv_n_1-4</t>
  </si>
  <si>
    <t xml:space="preserve">1553.0</t>
  </si>
  <si>
    <t xml:space="preserve">1500.0</t>
  </si>
  <si>
    <t xml:space="preserve">266.0</t>
  </si>
  <si>
    <t xml:space="preserve">ret_won_1-4</t>
  </si>
  <si>
    <t xml:space="preserve">24.554941682013506</t>
  </si>
  <si>
    <t xml:space="preserve">26.239907727797</t>
  </si>
  <si>
    <t xml:space="preserve">27.62237762237762</t>
  </si>
  <si>
    <t xml:space="preserve">ret_n_1-4</t>
  </si>
  <si>
    <t xml:space="preserve">1629.0</t>
  </si>
  <si>
    <t xml:space="preserve">1734.0</t>
  </si>
  <si>
    <t xml:space="preserve">286.0</t>
  </si>
  <si>
    <t xml:space="preserve">srv_won_5-8</t>
  </si>
  <si>
    <t xml:space="preserve">54.63576158940398</t>
  </si>
  <si>
    <t xml:space="preserve">53.154205607476634</t>
  </si>
  <si>
    <t xml:space="preserve">57.05882352941176</t>
  </si>
  <si>
    <t xml:space="preserve">srv_n_5-8</t>
  </si>
  <si>
    <t xml:space="preserve">604.0</t>
  </si>
  <si>
    <t xml:space="preserve">856.0</t>
  </si>
  <si>
    <t xml:space="preserve">170.0</t>
  </si>
  <si>
    <t xml:space="preserve">ret_won_5-8</t>
  </si>
  <si>
    <t xml:space="preserve">50.29673590504451</t>
  </si>
  <si>
    <t xml:space="preserve">50.318471337579616</t>
  </si>
  <si>
    <t xml:space="preserve">51.461988304093566</t>
  </si>
  <si>
    <t xml:space="preserve">ret_n_5-8</t>
  </si>
  <si>
    <t xml:space="preserve">674.0</t>
  </si>
  <si>
    <t xml:space="preserve">785.0</t>
  </si>
  <si>
    <t xml:space="preserve">171.0</t>
  </si>
  <si>
    <t xml:space="preserve">srv_won_9+</t>
  </si>
  <si>
    <t xml:space="preserve">48.4375</t>
  </si>
  <si>
    <t xml:space="preserve">53.69458128078818</t>
  </si>
  <si>
    <t xml:space="preserve">56.00000000000001</t>
  </si>
  <si>
    <t xml:space="preserve">srv_n_9+</t>
  </si>
  <si>
    <t xml:space="preserve">320.0</t>
  </si>
  <si>
    <t xml:space="preserve">609.0</t>
  </si>
  <si>
    <t xml:space="preserve">75.0</t>
  </si>
  <si>
    <t xml:space="preserve">ret_won_9+</t>
  </si>
  <si>
    <t xml:space="preserve">52.30352303523035</t>
  </si>
  <si>
    <t xml:space="preserve">57.73381294964028</t>
  </si>
  <si>
    <t xml:space="preserve">45.348837209302324</t>
  </si>
  <si>
    <t xml:space="preserve">ret_n_9+</t>
  </si>
  <si>
    <t xml:space="preserve">369.0</t>
  </si>
  <si>
    <t xml:space="preserve">556.0</t>
  </si>
  <si>
    <t xml:space="preserve">86.0</t>
  </si>
  <si>
    <t xml:space="preserve">deuce_1st W/B/T %</t>
  </si>
  <si>
    <t xml:space="preserve">52/3/45</t>
  </si>
  <si>
    <t xml:space="preserve">44/18/38</t>
  </si>
  <si>
    <t xml:space="preserve">54/14/31</t>
  </si>
  <si>
    <t xml:space="preserve">deuce_entropy</t>
  </si>
  <si>
    <t xml:space="preserve">1.18</t>
  </si>
  <si>
    <t xml:space="preserve">1.5</t>
  </si>
  <si>
    <t xml:space="preserve">1.4</t>
  </si>
  <si>
    <t xml:space="preserve">ad_1st W/B/T %</t>
  </si>
  <si>
    <t xml:space="preserve">45/6/49</t>
  </si>
  <si>
    <t xml:space="preserve">40/20/41</t>
  </si>
  <si>
    <t xml:space="preserve">32/22/47</t>
  </si>
  <si>
    <t xml:space="preserve">ad_entropy</t>
  </si>
  <si>
    <t xml:space="preserve">1.27</t>
  </si>
  <si>
    <t xml:space="preserve">1.52</t>
  </si>
  <si>
    <t xml:space="preserve">1.51</t>
  </si>
  <si>
    <t xml:space="preserve">deuce: srv won% (n)</t>
  </si>
  <si>
    <t xml:space="preserve">68.6 (338)</t>
  </si>
  <si>
    <t xml:space="preserve">64.1 (548)</t>
  </si>
  <si>
    <t xml:space="preserve">61.5 (96)</t>
  </si>
  <si>
    <t xml:space="preserve">deuce: 1st W/B/T %</t>
  </si>
  <si>
    <t xml:space="preserve">54/2/44</t>
  </si>
  <si>
    <t xml:space="preserve">47/18/35</t>
  </si>
  <si>
    <t xml:space="preserve">55/12/33</t>
  </si>
  <si>
    <t xml:space="preserve">deuce: entropy</t>
  </si>
  <si>
    <t xml:space="preserve">1.1</t>
  </si>
  <si>
    <t xml:space="preserve">1.49</t>
  </si>
  <si>
    <t xml:space="preserve">1.37</t>
  </si>
  <si>
    <t xml:space="preserve">deuce: ret won% (n)</t>
  </si>
  <si>
    <t xml:space="preserve">32.9 (377)</t>
  </si>
  <si>
    <t xml:space="preserve">36.4 (579)</t>
  </si>
  <si>
    <t xml:space="preserve">40.4 (104)</t>
  </si>
  <si>
    <t xml:space="preserve">BP: srv won% (n)</t>
  </si>
  <si>
    <t xml:space="preserve">67.1 (152)</t>
  </si>
  <si>
    <t xml:space="preserve">63.3 (226)</t>
  </si>
  <si>
    <t xml:space="preserve">57.1 (49)</t>
  </si>
  <si>
    <t xml:space="preserve">BP: 1st W/B/T %</t>
  </si>
  <si>
    <t xml:space="preserve">50/8/41</t>
  </si>
  <si>
    <t xml:space="preserve">40/17/44</t>
  </si>
  <si>
    <t xml:space="preserve">35/12/53</t>
  </si>
  <si>
    <t xml:space="preserve">BP: entropy</t>
  </si>
  <si>
    <t xml:space="preserve">1.32</t>
  </si>
  <si>
    <t xml:space="preserve">1.48</t>
  </si>
  <si>
    <t xml:space="preserve">1.38</t>
  </si>
  <si>
    <t xml:space="preserve">BP: ret won% (n)</t>
  </si>
  <si>
    <t xml:space="preserve">39.4 (188)</t>
  </si>
  <si>
    <t xml:space="preserve">39.1 (266)</t>
  </si>
  <si>
    <t xml:space="preserve">45.2 (42)</t>
  </si>
  <si>
    <t xml:space="preserve">TB: srv won% (n)</t>
  </si>
  <si>
    <t xml:space="preserve">73.7 (114)</t>
  </si>
  <si>
    <t xml:space="preserve">59.1 (66)</t>
  </si>
  <si>
    <t xml:space="preserve">70.6 (17)</t>
  </si>
  <si>
    <t xml:space="preserve">TB: 1st W/B/T %</t>
  </si>
  <si>
    <t xml:space="preserve">44/22/34</t>
  </si>
  <si>
    <t xml:space="preserve">20/30/50</t>
  </si>
  <si>
    <t xml:space="preserve">TB: entropy</t>
  </si>
  <si>
    <t xml:space="preserve">1.53</t>
  </si>
  <si>
    <t xml:space="preserve">TB: ret won% (n)</t>
  </si>
  <si>
    <t xml:space="preserve">34.7 (118)</t>
  </si>
  <si>
    <t xml:space="preserve">49.3 (67)</t>
  </si>
  <si>
    <t xml:space="preserve">31.2 (16)</t>
  </si>
  <si>
    <t xml:space="preserve">+1 FH share%</t>
  </si>
  <si>
    <t xml:space="preserve">53.125</t>
  </si>
  <si>
    <t xml:space="preserve">67.87641000490436</t>
  </si>
  <si>
    <t xml:space="preserve">58.14606741573034</t>
  </si>
  <si>
    <t xml:space="preserve">+1 FH won%</t>
  </si>
  <si>
    <t xml:space="preserve">60.56149732620321</t>
  </si>
  <si>
    <t xml:space="preserve">57.51445086705203</t>
  </si>
  <si>
    <t xml:space="preserve">56.038647342995176</t>
  </si>
  <si>
    <t xml:space="preserve">+1 BH won%</t>
  </si>
  <si>
    <t xml:space="preserve">52.42424242424243</t>
  </si>
  <si>
    <t xml:space="preserve">52.06106870229008</t>
  </si>
  <si>
    <t xml:space="preserve">48.322147651006716</t>
  </si>
  <si>
    <t xml:space="preserve">ret_v1st_won%</t>
  </si>
  <si>
    <t xml:space="preserve">26.605504587155966</t>
  </si>
  <si>
    <t xml:space="preserve">29.796131730266595</t>
  </si>
  <si>
    <t xml:space="preserve">28.955223880597014</t>
  </si>
  <si>
    <t xml:space="preserve">ret_v2nd_won%</t>
  </si>
  <si>
    <t xml:space="preserve">45.75471698113208</t>
  </si>
  <si>
    <t xml:space="preserve">45.95375722543353</t>
  </si>
  <si>
    <t xml:space="preserve">46.48648648648649</t>
  </si>
  <si>
    <t xml:space="preserve">ret_inplay% (v1st)</t>
  </si>
  <si>
    <t xml:space="preserve">73.79587155963303</t>
  </si>
  <si>
    <t xml:space="preserve">82.54051228437011</t>
  </si>
  <si>
    <t xml:space="preserve">74.32835820895522</t>
  </si>
  <si>
    <t xml:space="preserve">SPW set1% (n)</t>
  </si>
  <si>
    <t xml:space="preserve">70.5 (970)</t>
  </si>
  <si>
    <t xml:space="preserve">63.9 (1251)</t>
  </si>
  <si>
    <t xml:space="preserve">65.0 (243)</t>
  </si>
  <si>
    <t xml:space="preserve">SPW set2% (n)</t>
  </si>
  <si>
    <t xml:space="preserve">69.9 (979)</t>
  </si>
  <si>
    <t xml:space="preserve">65.7 (1156)</t>
  </si>
  <si>
    <t xml:space="preserve">54.5 (187)</t>
  </si>
  <si>
    <t xml:space="preserve">SPW set3% (n)</t>
  </si>
  <si>
    <t xml:space="preserve">69.3 (423)</t>
  </si>
  <si>
    <t xml:space="preserve">59.6 (564)</t>
  </si>
  <si>
    <t xml:space="preserve">62.0 (100)</t>
  </si>
  <si>
    <t xml:space="preserve">Opponent-adjusted serve/return residuals this week (expectation includes +1.0 pt pace)</t>
  </si>
  <si>
    <t xml:space="preserve">player</t>
  </si>
  <si>
    <t xml:space="preserve">rnd</t>
  </si>
  <si>
    <t xml:space="preserve">opp</t>
  </si>
  <si>
    <t xml:space="preserve">svpt</t>
  </si>
  <si>
    <t xml:space="preserve">spw</t>
  </si>
  <si>
    <t xml:space="preserve">exp_spw</t>
  </si>
  <si>
    <t xml:space="preserve">s_res</t>
  </si>
  <si>
    <t xml:space="preserve">rtpt</t>
  </si>
  <si>
    <t xml:space="preserve">rpw</t>
  </si>
  <si>
    <t xml:space="preserve">exp_rpw</t>
  </si>
  <si>
    <t xml:space="preserve">r_res</t>
  </si>
  <si>
    <t xml:space="preserve">R128</t>
  </si>
  <si>
    <t xml:space="preserve">Jaime Faria</t>
  </si>
  <si>
    <t xml:space="preserve">R64</t>
  </si>
  <si>
    <t xml:space="preserve">Ugo Humbert</t>
  </si>
  <si>
    <t xml:space="preserve">R32</t>
  </si>
  <si>
    <t xml:space="preserve">Ben Shelton</t>
  </si>
  <si>
    <t xml:space="preserve">R16</t>
  </si>
  <si>
    <t xml:space="preserve">Jakub Mensik</t>
  </si>
  <si>
    <t xml:space="preserve">Jenson Brooksby</t>
  </si>
  <si>
    <t xml:space="preserve">Frances Tiafoe</t>
  </si>
  <si>
    <t xml:space="preserve">Hubert Hurkacz</t>
  </si>
  <si>
    <t xml:space="preserve">Yibing Wu</t>
  </si>
  <si>
    <t xml:space="preserve">Quentin Halys</t>
  </si>
  <si>
    <t xml:space="preserve">Alexander Bublik</t>
  </si>
  <si>
    <t xml:space="preserve">Rei Sakamoto</t>
  </si>
  <si>
    <t xml:space="preserve">Karen Khachanov</t>
  </si>
  <si>
    <t xml:space="preserve">Zverev hard-court SPW vs expectation, 2024-10..2026-10 (elite = top-12 return ratings)</t>
  </si>
  <si>
    <t xml:space="preserve">date</t>
  </si>
  <si>
    <t xml:space="preserve">exp</t>
  </si>
  <si>
    <t xml:space="preserve">won</t>
  </si>
  <si>
    <t xml:space="preserve">elite</t>
  </si>
  <si>
    <t xml:space="preserve">resid</t>
  </si>
  <si>
    <t xml:space="preserve">2024-10-21</t>
  </si>
  <si>
    <t xml:space="preserve">Joel Schwaerzler</t>
  </si>
  <si>
    <t xml:space="preserve">Marcos Giron</t>
  </si>
  <si>
    <t xml:space="preserve">2024-10-28</t>
  </si>
  <si>
    <t xml:space="preserve">Tallon Griekspoor</t>
  </si>
  <si>
    <t xml:space="preserve">Arthur Fils</t>
  </si>
  <si>
    <t xml:space="preserve">Stefanos Tsitsipas</t>
  </si>
  <si>
    <t xml:space="preserve">Holger Rune</t>
  </si>
  <si>
    <t xml:space="preserve">2024-11-11</t>
  </si>
  <si>
    <t xml:space="preserve">Carlos Alcaraz</t>
  </si>
  <si>
    <t xml:space="preserve">Casper Ruud</t>
  </si>
  <si>
    <t xml:space="preserve">Andrey Rublev</t>
  </si>
  <si>
    <t xml:space="preserve">2024-12-29</t>
  </si>
  <si>
    <t xml:space="preserve">Thiago Monteiro</t>
  </si>
  <si>
    <t xml:space="preserve">Zhizhen Zhang</t>
  </si>
  <si>
    <t xml:space="preserve">2025-01-13</t>
  </si>
  <si>
    <t xml:space="preserve">Lucas Pouille</t>
  </si>
  <si>
    <t xml:space="preserve">Pedro Martinez</t>
  </si>
  <si>
    <t xml:space="preserve">Jacob Fearnley</t>
  </si>
  <si>
    <t xml:space="preserve">Tommy Paul</t>
  </si>
  <si>
    <t xml:space="preserve">Novak Djokovic</t>
  </si>
  <si>
    <t xml:space="preserve">2025-02-24</t>
  </si>
  <si>
    <t xml:space="preserve">Matteo Arnaldi</t>
  </si>
  <si>
    <t xml:space="preserve">2025-03-17</t>
  </si>
  <si>
    <t xml:space="preserve">Jordan Thompson</t>
  </si>
  <si>
    <t xml:space="preserve">2025-07-27</t>
  </si>
  <si>
    <t xml:space="preserve">Adam Walton</t>
  </si>
  <si>
    <t xml:space="preserve">Francisco Cerundolo</t>
  </si>
  <si>
    <t xml:space="preserve">Alexei Popyrin</t>
  </si>
  <si>
    <t xml:space="preserve">2025-08-07</t>
  </si>
  <si>
    <t xml:space="preserve">Nishesh Basavareddy</t>
  </si>
  <si>
    <t xml:space="preserve">Brandon Nakashima</t>
  </si>
  <si>
    <t xml:space="preserve">2025-08-24</t>
  </si>
  <si>
    <t xml:space="preserve">Alejandro Tabilo</t>
  </si>
  <si>
    <t xml:space="preserve">2025-09-24</t>
  </si>
  <si>
    <t xml:space="preserve">Lorenzo Sonego</t>
  </si>
  <si>
    <t xml:space="preserve">Corentin Moutet</t>
  </si>
  <si>
    <t xml:space="preserve">Valentin Royer</t>
  </si>
  <si>
    <t xml:space="preserve">2025-10-20</t>
  </si>
  <si>
    <t xml:space="preserve">Lorenzo Musetti</t>
  </si>
  <si>
    <t xml:space="preserve">2025-10-27</t>
  </si>
  <si>
    <t xml:space="preserve">Camilo Ugo Carabelli</t>
  </si>
  <si>
    <t xml:space="preserve">Daniil Medvedev</t>
  </si>
  <si>
    <t xml:space="preserve">2025-11-10</t>
  </si>
  <si>
    <t xml:space="preserve">2026-01-04</t>
  </si>
  <si>
    <t xml:space="preserve">2026-01-19</t>
  </si>
  <si>
    <t xml:space="preserve">Learner Tien</t>
  </si>
  <si>
    <t xml:space="preserve">Cameron Norrie</t>
  </si>
  <si>
    <t xml:space="preserve">Alexandre Muller</t>
  </si>
  <si>
    <t xml:space="preserve">Gabriel Diallo</t>
  </si>
  <si>
    <t xml:space="preserve">2026-02-23</t>
  </si>
  <si>
    <t xml:space="preserve">2026-03-04</t>
  </si>
  <si>
    <t xml:space="preserve">Matteo Berrettini</t>
  </si>
  <si>
    <t xml:space="preserve">2026-03-18</t>
  </si>
  <si>
    <t xml:space="preserve">Marin Cilic</t>
  </si>
  <si>
    <t xml:space="preserve">Martin Damm</t>
  </si>
  <si>
    <t xml:space="preserve">2026-08-13</t>
  </si>
  <si>
    <t xml:space="preserve">Terence Atmane</t>
  </si>
  <si>
    <t xml:space="preserve">2026-08-31</t>
  </si>
  <si>
    <t xml:space="preserve">Botic van de Zandschulp</t>
  </si>
  <si>
    <t xml:space="preserve">Luciano Darderi</t>
  </si>
  <si>
    <t xml:space="preserve">2026-09-30</t>
  </si>
  <si>
    <t xml:space="preserve">Juncheng Shang</t>
  </si>
  <si>
    <t xml:space="preserve">Taylor Fritz</t>
  </si>
  <si>
    <t xml:space="preserve">Jannik Sinner</t>
  </si>
  <si>
    <t xml:space="preserve">2025-03-03</t>
  </si>
  <si>
    <t xml:space="preserve">Felix Auger-Aliassime</t>
  </si>
  <si>
    <t xml:space="preserve">Arthur Rinderknech</t>
  </si>
  <si>
    <t xml:space="preserve">2026-01-05</t>
  </si>
  <si>
    <t xml:space="preserve">Miomir Kecmanovic</t>
  </si>
  <si>
    <t xml:space="preserve">Hard-court H2H serve data (Tennis Abstract); RG 2024 clay excluded</t>
  </si>
  <si>
    <t xml:space="preserve">event</t>
  </si>
  <si>
    <t xml:space="preserve">Z_svpt</t>
  </si>
  <si>
    <t xml:space="preserve">Z_SPW</t>
  </si>
  <si>
    <t xml:space="preserve">ADM_svpt</t>
  </si>
  <si>
    <t xml:space="preserve">ADM_SPW</t>
  </si>
  <si>
    <t xml:space="preserve">include_frac (None = match-TB points removed)</t>
  </si>
  <si>
    <t xml:space="preserve">2026-09-25</t>
  </si>
  <si>
    <t xml:space="preserve">Laver Cup (2 sets + match TB; TB points removed ~10/server)</t>
  </si>
  <si>
    <t xml:space="preserve">2025-09-19</t>
  </si>
  <si>
    <t xml:space="preserve">Laver Cup (regular sets)</t>
  </si>
  <si>
    <t xml:space="preserve">2024-03-04</t>
  </si>
  <si>
    <t xml:space="preserve">Indian Wells R16</t>
  </si>
  <si>
    <t xml:space="preserve">2024-01-01</t>
  </si>
  <si>
    <t xml:space="preserve">United Cup SF</t>
  </si>
  <si>
    <t xml:space="preserve">2021-10-25</t>
  </si>
  <si>
    <t xml:space="preserve">Vienna R16</t>
  </si>
  <si>
    <t xml:space="preserve">2020-01-06</t>
  </si>
  <si>
    <t xml:space="preserve">ATP Cup RR</t>
  </si>
  <si>
    <t xml:space="preserve">2019-02-25</t>
  </si>
  <si>
    <t xml:space="preserve">Acapulco QF</t>
  </si>
  <si>
    <t xml:space="preserve">2018-10-08</t>
  </si>
  <si>
    <t xml:space="preserve">Shanghai R16</t>
  </si>
  <si>
    <t xml:space="preserve">2018-07-30</t>
  </si>
  <si>
    <t xml:space="preserve">Washington F</t>
  </si>
  <si>
    <t xml:space="preserve">2018-02-02</t>
  </si>
  <si>
    <t xml:space="preserve">Davis Cup (Bo5)</t>
  </si>
  <si>
    <t xml:space="preserve">Market numbers (no-vig P for player A); status column says what was opened vs search-reported</t>
  </si>
  <si>
    <t xml:space="preserve">number</t>
  </si>
  <si>
    <t xml:space="preserve">p_A_novig</t>
  </si>
  <si>
    <t xml:space="preserve">status</t>
  </si>
  <si>
    <t xml:space="preserve">DraftKings ML (Dimers)</t>
  </si>
  <si>
    <t xml:space="preserve">Gea +100 / ADF -116</t>
  </si>
  <si>
    <t xml:space="preserve">search-reported, Oct 14</t>
  </si>
  <si>
    <t xml:space="preserve">Pinnacle ML (predictobets)</t>
  </si>
  <si>
    <t xml:space="preserve">Gea 2.07 / ADF 1.82</t>
  </si>
  <si>
    <t xml:space="preserve">search-reported, Oct 14-15</t>
  </si>
  <si>
    <t xml:space="preserve">Tennis Tonic early prices</t>
  </si>
  <si>
    <t xml:space="preserve">Gea 2.06 / ADF 1.75</t>
  </si>
  <si>
    <t xml:space="preserve">TA hard Elo (2026-10-05)</t>
  </si>
  <si>
    <t xml:space="preserve">Gea 1784.6 / ADF 1856.0</t>
  </si>
  <si>
    <t xml:space="preserve">fetched via Exa; pre-Shanghai</t>
  </si>
  <si>
    <t xml:space="preserve">Zverev -200 / ADM +175</t>
  </si>
  <si>
    <t xml:space="preserve">Kalshi via Robinhood</t>
  </si>
  <si>
    <t xml:space="preserve">Zverev 65c / ADM 36c</t>
  </si>
  <si>
    <t xml:space="preserve">fetched via Exa, Oct 15 ~00:30 UTC</t>
  </si>
  <si>
    <t xml:space="preserve">OddsSafari best odds</t>
  </si>
  <si>
    <t xml:space="preserve">Zverev 1.55 / ADM 2.75</t>
  </si>
  <si>
    <t xml:space="preserve">fetched via Exa</t>
  </si>
  <si>
    <t xml:space="preserve">bet365 (news.bet365)</t>
  </si>
  <si>
    <t xml:space="preserve">Zverev -200 / ADM +162</t>
  </si>
  <si>
    <t xml:space="preserve">search-reported</t>
  </si>
  <si>
    <t xml:space="preserve">Zverev 2044.6 / ADM 1943.5</t>
  </si>
  <si>
    <t xml:space="preserve">Blind-number decomposition and market inversion</t>
  </si>
  <si>
    <t xml:space="preserve">step</t>
  </si>
  <si>
    <t xml:space="preserve">p_A</t>
  </si>
  <si>
    <t xml:space="preserve">ratings only, iid, no shrink</t>
  </si>
  <si>
    <t xml:space="preserve">+ court pace (+1.0 pt each)</t>
  </si>
  <si>
    <t xml:space="preserve">+ this-week form x0.1</t>
  </si>
  <si>
    <t xml:space="preserve">+ physical/fatigue mixture (iid)</t>
  </si>
  <si>
    <t xml:space="preserve">+ backtest shrink k=0.58</t>
  </si>
  <si>
    <t xml:space="preserve">market-implied serve probs pa=0.6507 pb=0.6597 (sum 1.310 vs model 1.256)</t>
  </si>
  <si>
    <t xml:space="preserve">+ H2H blend</t>
  </si>
  <si>
    <t xml:space="preserve">market-implied serve probs pa=0.7066 pb=0.6632 (sum 1.370 vs model 1.332)</t>
  </si>
  <si>
    <t xml:space="preserve">Re-centred simulation: total-games histogram (60,000 sims per match)</t>
  </si>
  <si>
    <t xml:space="preserve">total_games</t>
  </si>
  <si>
    <t xml:space="preserve">sims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</si>
</sst>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CC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F3F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3FB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8</v>
      </c>
    </row>
    <row r="2" customFormat="false" ht="15" hidden="false" customHeight="false" outlineLevel="0" collapsed="false">
      <c r="G2" s="3" t="s">
        <v>9</v>
      </c>
    </row>
    <row r="3" customFormat="false" ht="15" hidden="false" customHeight="false" outlineLevel="0" collapsed="false">
      <c r="A3" s="3" t="s">
        <v>10</v>
      </c>
    </row>
    <row r="4" customFormat="false" ht="15" hidden="false" customHeight="false" outlineLevel="0" collapsed="false">
      <c r="A4" s="0" t="s">
        <v>11</v>
      </c>
      <c r="B4" s="4" t="n">
        <v>0.61754266729199</v>
      </c>
      <c r="G4" s="3" t="s">
        <v>12</v>
      </c>
      <c r="P4" s="3" t="s">
        <v>13</v>
      </c>
    </row>
    <row r="5" customFormat="false" ht="15" hidden="false" customHeight="false" outlineLevel="0" collapsed="false">
      <c r="A5" s="0" t="s">
        <v>14</v>
      </c>
      <c r="B5" s="4" t="n">
        <v>0.612641811900344</v>
      </c>
      <c r="H5" s="0" t="n">
        <v>1</v>
      </c>
      <c r="I5" s="5" t="n">
        <f aca="false">H5*(1-$B$41)</f>
        <v>0.365297219832647</v>
      </c>
      <c r="J5" s="5" t="n">
        <f aca="false">I5*(1-(1-$B$42))</f>
        <v>0.226955718531893</v>
      </c>
      <c r="K5" s="5" t="n">
        <f aca="false">J5*(1-(1-$B$42))</f>
        <v>0.141005448105861</v>
      </c>
      <c r="L5" s="5" t="n">
        <f aca="false">K5*(1-$B$41)</f>
        <v>0.0515088981743278</v>
      </c>
      <c r="M5" s="5" t="n">
        <f aca="false">L5*(1-$B$41)</f>
        <v>0.0188160572997249</v>
      </c>
      <c r="N5" s="5" t="n">
        <f aca="false">M5*(1-(1-$B$42))</f>
        <v>0.0116902389959407</v>
      </c>
      <c r="Q5" s="0" t="n">
        <v>1</v>
      </c>
      <c r="R5" s="5" t="n">
        <f aca="false">Q5*(1-($B$41^4*(1+4*(1-$B$41)+10*(1-$B$41)^2)+20*$B$41^3*(1-$B$41)^3*$B$41^2/(1-2*$B$41*(1-$B$41))))</f>
        <v>0.196775017731756</v>
      </c>
      <c r="S5" s="5" t="n">
        <f aca="false">R5*(1-(1-($B$42^4*(1+4*(1-$B$42)+10*(1-$B$42)^2)+20*$B$42^3*(1-$B$42)^3*$B$42^2/(1-2*$B$42*(1-$B$42)))))</f>
        <v>0.153157755112997</v>
      </c>
      <c r="T5" s="5" t="n">
        <f aca="false">S5*(1-($B$41^4*(1+4*(1-$B$41)+10*(1-$B$41)^2)+20*$B$41^3*(1-$B$41)^3*$B$41^2/(1-2*$B$41*(1-$B$41))))</f>
        <v>0.0301376199781159</v>
      </c>
      <c r="U5" s="5" t="n">
        <f aca="false">T5*(1-(1-($B$42^4*(1+4*(1-$B$42)+10*(1-$B$42)^2)+20*$B$42^3*(1-$B$42)^3*$B$42^2/(1-2*$B$42*(1-$B$42)))))</f>
        <v>0.0234572979512527</v>
      </c>
      <c r="V5" s="5" t="n">
        <f aca="false">U5*(1-($B$41^4*(1+4*(1-$B$41)+10*(1-$B$41)^2)+20*$B$41^3*(1-$B$41)^3*$B$41^2/(1-2*$B$41*(1-$B$41))))</f>
        <v>0.00461581022029683</v>
      </c>
      <c r="W5" s="5" t="n">
        <f aca="false">V5*(1-(1-($B$42^4*(1+4*(1-$B$42)+10*(1-$B$42)^2)+20*$B$42^3*(1-$B$42)^3*$B$42^2/(1-2*$B$42*(1-$B$42)))))</f>
        <v>0.00359266709523055</v>
      </c>
    </row>
    <row r="6" customFormat="false" ht="15" hidden="false" customHeight="false" outlineLevel="0" collapsed="false">
      <c r="A6" s="0" t="s">
        <v>15</v>
      </c>
      <c r="B6" s="4" t="n">
        <v>0.01</v>
      </c>
      <c r="H6" s="5" t="n">
        <f aca="false">H5*$B$41</f>
        <v>0.634702780167353</v>
      </c>
      <c r="I6" s="5" t="n">
        <f aca="false">I5*(1-$B$42)+H6*(1-(1-$B$42))</f>
        <v>0.53267635441862</v>
      </c>
      <c r="J6" s="5" t="n">
        <f aca="false">J5*(1-$B$42)+I6*(1-(1-$B$42))</f>
        <v>0.416897067167085</v>
      </c>
      <c r="K6" s="5" t="n">
        <f aca="false">K5*$B$41+J6*(1-$B$41)</f>
        <v>0.241787889524054</v>
      </c>
      <c r="L6" s="5" t="n">
        <f aca="false">L5*$B$41+K6*(1-$B$41)</f>
        <v>0.121017284706943</v>
      </c>
      <c r="M6" s="5" t="n">
        <f aca="false">M5*(1-$B$42)+L6*(1-(1-$B$42))</f>
        <v>0.0823127162988625</v>
      </c>
      <c r="N6" s="5" t="n">
        <f aca="false">N5*(1-$B$42)+M6*(1-(1-$B$42))</f>
        <v>0.055567318290795</v>
      </c>
      <c r="Q6" s="5" t="n">
        <f aca="false">Q5*($B$41^4*(1+4*(1-$B$41)+10*(1-$B$41)^2)+20*$B$41^3*(1-$B$41)^3*$B$41^2/(1-2*$B$41*(1-$B$41)))</f>
        <v>0.803224982268244</v>
      </c>
      <c r="R6" s="5" t="n">
        <f aca="false">R5*(1-($B$42^4*(1+4*(1-$B$42)+10*(1-$B$42)^2)+20*$B$42^3*(1-$B$42)^3*$B$42^2/(1-2*$B$42*(1-$B$42))))+Q6*(1-(1-($B$42^4*(1+4*(1-$B$42)+10*(1-$B$42)^2)+20*$B$42^3*(1-$B$42)^3*$B$42^2/(1-2*$B$42*(1-$B$42)))))</f>
        <v>0.668798937370694</v>
      </c>
      <c r="S6" s="5" t="n">
        <f aca="false">S5*($B$41^4*(1+4*(1-$B$41)+10*(1-$B$41)^2)+20*$B$41^3*(1-$B$41)^3*$B$41^2/(1-2*$B$41*(1-$B$41)))+R6*(1-($B$41^4*(1+4*(1-$B$41)+10*(1-$B$41)^2)+20*$B$41^3*(1-$B$41)^3*$B$41^2/(1-2*$B$41*(1-$B$41))))</f>
        <v>0.254623057894979</v>
      </c>
      <c r="T6" s="5" t="n">
        <f aca="false">T5*(1-($B$42^4*(1+4*(1-$B$42)+10*(1-$B$42)^2)+20*$B$42^3*(1-$B$42)^3*$B$42^2/(1-2*$B$42*(1-$B$42))))+S6*(1-(1-($B$42^4*(1+4*(1-$B$42)+10*(1-$B$42)^2)+20*$B$42^3*(1-$B$42)^3*$B$42^2/(1-2*$B$42*(1-$B$42)))))</f>
        <v>0.204863487739306</v>
      </c>
      <c r="U6" s="5" t="n">
        <f aca="false">U5*($B$41^4*(1+4*(1-$B$41)+10*(1-$B$41)^2)+20*$B$41^3*(1-$B$41)^3*$B$41^2/(1-2*$B$41*(1-$B$41)))+T6*(1-($B$41^4*(1+4*(1-$B$41)+10*(1-$B$41)^2)+20*$B$41^3*(1-$B$41)^3*$B$41^2/(1-2*$B$41*(1-$B$41))))</f>
        <v>0.0591535041634472</v>
      </c>
      <c r="V6" s="5" t="n">
        <f aca="false">V5*(1-($B$42^4*(1+4*(1-$B$42)+10*(1-$B$42)^2)+20*$B$42^3*(1-$B$42)^3*$B$42^2/(1-2*$B$42*(1-$B$42))))+U6*(1-(1-($B$42^4*(1+4*(1-$B$42)+10*(1-$B$42)^2)+20*$B$42^3*(1-$B$42)^3*$B$42^2/(1-2*$B$42*(1-$B$42)))))</f>
        <v>0.0470646478301566</v>
      </c>
      <c r="W6" s="5" t="n">
        <f aca="false">V6*(1-($B$41^4*(1+4*(1-$B$41)+10*(1-$B$41)^2)+20*$B$41^3*(1-$B$41)^3*$B$41^2/(1-2*$B$41*(1-$B$41))))</f>
        <v>0.00926114691131791</v>
      </c>
    </row>
    <row r="7" customFormat="false" ht="15" hidden="false" customHeight="false" outlineLevel="0" collapsed="false">
      <c r="A7" s="0" t="s">
        <v>16</v>
      </c>
      <c r="B7" s="4" t="n">
        <v>0.0698705081060935</v>
      </c>
      <c r="H7" s="5" t="n">
        <f aca="false">H6*(1-$B$42)</f>
        <v>0.240367927049487</v>
      </c>
      <c r="I7" s="5" t="n">
        <f aca="false">I6*(1-$B$42)+H7*(1-(1-$B$42))</f>
        <v>0.35106788448041</v>
      </c>
      <c r="J7" s="5" t="n">
        <f aca="false">J6*$B$41+I7*(1-$B$41)</f>
        <v>0.392849849747787</v>
      </c>
      <c r="K7" s="5" t="n">
        <f aca="false">K6*$B$41+J7*(1-$B$41)</f>
        <v>0.296970403616254</v>
      </c>
      <c r="L7" s="5" t="n">
        <f aca="false">L6*(1-$B$42)+K7*(1-(1-$B$42))</f>
        <v>0.230335298537667</v>
      </c>
      <c r="M7" s="5" t="n">
        <f aca="false">M6*(1-$B$42)+L7*(1-(1-$B$42))</f>
        <v>0.174277751035082</v>
      </c>
      <c r="N7" s="5" t="n">
        <f aca="false">N6*$B$41+M7*(1-$B$41)</f>
        <v>0.0989319093374137</v>
      </c>
      <c r="Q7" s="5" t="n">
        <f aca="false">Q6*(1-($B$42^4*(1+4*(1-$B$42)+10*(1-$B$42)^2)+20*$B$42^3*(1-$B$42)^3*$B$42^2/(1-2*$B$42*(1-$B$42))))</f>
        <v>0.17804330751631</v>
      </c>
      <c r="R7" s="5" t="n">
        <f aca="false">R6*($B$41^4*(1+4*(1-$B$41)+10*(1-$B$41)^2)+20*$B$41^3*(1-$B$41)^3*$B$41^2/(1-2*$B$41*(1-$B$41)))+Q7*(1-($B$41^4*(1+4*(1-$B$41)+10*(1-$B$41)^2)+20*$B$41^3*(1-$B$41)^3*$B$41^2/(1-2*$B$41*(1-$B$41))))</f>
        <v>0.572230489604138</v>
      </c>
      <c r="S7" s="5" t="n">
        <f aca="false">S6*(1-($B$42^4*(1+4*(1-$B$42)+10*(1-$B$42)^2)+20*$B$42^3*(1-$B$42)^3*$B$42^2/(1-2*$B$42*(1-$B$42))))+R7*(1-(1-($B$42^4*(1+4*(1-$B$42)+10*(1-$B$42)^2)+20*$B$42^3*(1-$B$42)^3*$B$42^2/(1-2*$B$42*(1-$B$42)))))</f>
        <v>0.501829445212351</v>
      </c>
      <c r="T7" s="5" t="n">
        <f aca="false">T6*($B$41^4*(1+4*(1-$B$41)+10*(1-$B$41)^2)+20*$B$41^3*(1-$B$41)^3*$B$41^2/(1-2*$B$41*(1-$B$41)))+S7*(1-($B$41^4*(1+4*(1-$B$41)+10*(1-$B$41)^2)+20*$B$41^3*(1-$B$41)^3*$B$41^2/(1-2*$B$41*(1-$B$41))))</f>
        <v>0.263298969286793</v>
      </c>
      <c r="U7" s="5" t="n">
        <f aca="false">U6*(1-($B$42^4*(1+4*(1-$B$42)+10*(1-$B$42)^2)+20*$B$42^3*(1-$B$42)^3*$B$42^2/(1-2*$B$42*(1-$B$42))))+T7*(1-(1-($B$42^4*(1+4*(1-$B$42)+10*(1-$B$42)^2)+20*$B$42^3*(1-$B$42)^3*$B$42^2/(1-2*$B$42*(1-$B$42)))))</f>
        <v>0.218047969097063</v>
      </c>
      <c r="V7" s="5" t="n">
        <f aca="false">V6*($B$41^4*(1+4*(1-$B$41)+10*(1-$B$41)^2)+20*$B$41^3*(1-$B$41)^3*$B$41^2/(1-2*$B$41*(1-$B$41)))+U7*(1-($B$41^4*(1+4*(1-$B$41)+10*(1-$B$41)^2)+20*$B$41^3*(1-$B$41)^3*$B$41^2/(1-2*$B$41*(1-$B$41))))</f>
        <v>0.0807098939042866</v>
      </c>
      <c r="W7" s="5" t="n">
        <f aca="false">V7*(1-(1-($B$42^4*(1+4*(1-$B$42)+10*(1-$B$42)^2)+20*$B$42^3*(1-$B$42)^3*$B$42^2/(1-2*$B$42*(1-$B$42)))))</f>
        <v>0.0628196928059215</v>
      </c>
    </row>
    <row r="8" customFormat="false" ht="15" hidden="false" customHeight="false" outlineLevel="0" collapsed="false">
      <c r="A8" s="0" t="s">
        <v>17</v>
      </c>
      <c r="B8" s="4" t="n">
        <v>0.0174325665136938</v>
      </c>
      <c r="H8" s="5" t="n">
        <f aca="false">H7*(1-$B$42)</f>
        <v>0.0910296002466439</v>
      </c>
      <c r="I8" s="5" t="n">
        <f aca="false">I7*$B$41+H8*(1-$B$41)</f>
        <v>0.256076622199763</v>
      </c>
      <c r="J8" s="5" t="n">
        <f aca="false">J7*$B$41+I8*(1-$B$41)</f>
        <v>0.342886969976956</v>
      </c>
      <c r="K8" s="5" t="n">
        <f aca="false">K7*(1-$B$42)+J8*(1-(1-$B$42))</f>
        <v>0.325497933378689</v>
      </c>
      <c r="L8" s="5" t="n">
        <f aca="false">L7*(1-$B$42)+K8*(1-(1-$B$42))</f>
        <v>0.289458946337742</v>
      </c>
      <c r="M8" s="5" t="n">
        <f aca="false">M7*$B$41+L8*(1-$B$41)</f>
        <v>0.216353121456145</v>
      </c>
      <c r="N8" s="5" t="n">
        <f aca="false">N7*$B$41+M8*(1-$B$41)</f>
        <v>0.141825551673766</v>
      </c>
      <c r="Q8" s="5" t="n">
        <f aca="false">Q7*($B$41^4*(1+4*(1-$B$41)+10*(1-$B$41)^2)+20*$B$41^3*(1-$B$41)^3*$B$41^2/(1-2*$B$41*(1-$B$41)))</f>
        <v>0.143008832522767</v>
      </c>
      <c r="R8" s="5" t="n">
        <f aca="false">R7*(1-($B$42^4*(1+4*(1-$B$42)+10*(1-$B$42)^2)+20*$B$42^3*(1-$B$42)^3*$B$42^2/(1-2*$B$42*(1-$B$42))))+Q8*(1-(1-($B$42^4*(1+4*(1-$B$42)+10*(1-$B$42)^2)+20*$B$42^3*(1-$B$42)^3*$B$42^2/(1-2*$B$42*(1-$B$42)))))</f>
        <v>0.238150349745743</v>
      </c>
      <c r="S8" s="5" t="n">
        <f aca="false">S7*($B$41^4*(1+4*(1-$B$41)+10*(1-$B$41)^2)+20*$B$41^3*(1-$B$41)^3*$B$41^2/(1-2*$B$41*(1-$B$41)))+R8*(1-($B$41^4*(1+4*(1-$B$41)+10*(1-$B$41)^2)+20*$B$41^3*(1-$B$41)^3*$B$41^2/(1-2*$B$41*(1-$B$41))))</f>
        <v>0.449943986526416</v>
      </c>
      <c r="T8" s="5" t="n">
        <f aca="false">T7*(1-($B$42^4*(1+4*(1-$B$42)+10*(1-$B$42)^2)+20*$B$42^3*(1-$B$42)^3*$B$42^2/(1-2*$B$42*(1-$B$42))))+S8*(1-(1-($B$42^4*(1+4*(1-$B$42)+10*(1-$B$42)^2)+20*$B$42^3*(1-$B$42)^3*$B$42^2/(1-2*$B$42*(1-$B$42)))))</f>
        <v>0.408572145592211</v>
      </c>
      <c r="U8" s="5" t="n">
        <f aca="false">U7*($B$41^4*(1+4*(1-$B$41)+10*(1-$B$41)^2)+20*$B$41^3*(1-$B$41)^3*$B$41^2/(1-2*$B$41*(1-$B$41)))+T8*(1-($B$41^4*(1+4*(1-$B$41)+10*(1-$B$41)^2)+20*$B$41^3*(1-$B$41)^3*$B$41^2/(1-2*$B$41*(1-$B$41))))</f>
        <v>0.255538367305224</v>
      </c>
      <c r="V8" s="5" t="n">
        <f aca="false">V7*(1-($B$42^4*(1+4*(1-$B$42)+10*(1-$B$42)^2)+20*$B$42^3*(1-$B$42)^3*$B$42^2/(1-2*$B$42*(1-$B$42))))+U8*(1-(1-($B$42^4*(1+4*(1-$B$42)+10*(1-$B$42)^2)+20*$B$42^3*(1-$B$42)^3*$B$42^2/(1-2*$B$42*(1-$B$42)))))</f>
        <v>0.216785788215328</v>
      </c>
      <c r="W8" s="5" t="n">
        <f aca="false">V8*(1-($B$41^4*(1+4*(1-$B$41)+10*(1-$B$41)^2)+20*$B$41^3*(1-$B$41)^3*$B$41^2/(1-2*$B$41*(1-$B$41))))</f>
        <v>0.042658027320064</v>
      </c>
    </row>
    <row r="9" customFormat="false" ht="15" hidden="false" customHeight="false" outlineLevel="0" collapsed="false">
      <c r="A9" s="0" t="s">
        <v>18</v>
      </c>
      <c r="B9" s="4" t="n">
        <v>0.00392016400784034</v>
      </c>
      <c r="H9" s="5" t="n">
        <f aca="false">H8*$B$41</f>
        <v>0.0577767403540676</v>
      </c>
      <c r="I9" s="5" t="n">
        <f aca="false">I8*$B$41+H9*(1-$B$41)</f>
        <v>0.183638226668388</v>
      </c>
      <c r="J9" s="5" t="n">
        <f aca="false">J8*(1-$B$42)+I9*(1-(1-$B$42))</f>
        <v>0.24394722721227</v>
      </c>
      <c r="K9" s="5" t="n">
        <f aca="false">K8*(1-$B$42)+J9*(1-(1-$B$42))</f>
        <v>0.274831248526113</v>
      </c>
      <c r="L9" s="5" t="n">
        <f aca="false">L8*$B$41+K9*(1-$B$41)</f>
        <v>0.284115488994602</v>
      </c>
      <c r="M9" s="5" t="n">
        <f aca="false">M8*$B$41+L9*(1-$B$41)</f>
        <v>0.241106525927222</v>
      </c>
      <c r="N9" s="5" t="n">
        <f aca="false">N8*(1-$B$42)+M9*(1-(1-$B$42))</f>
        <v>0.20350788492164</v>
      </c>
      <c r="Q9" s="5" t="n">
        <f aca="false">Q8*(1-($B$42^4*(1+4*(1-$B$42)+10*(1-$B$42)^2)+20*$B$42^3*(1-$B$42)^3*$B$42^2/(1-2*$B$42*(1-$B$42))))</f>
        <v>0.0316994193513472</v>
      </c>
      <c r="R9" s="5" t="n">
        <f aca="false">R8*($B$41^4*(1+4*(1-$B$41)+10*(1-$B$41)^2)+20*$B$41^3*(1-$B$41)^3*$B$41^2/(1-2*$B$41*(1-$B$41)))+Q9*(1-($B$41^4*(1+4*(1-$B$41)+10*(1-$B$41)^2)+20*$B$41^3*(1-$B$41)^3*$B$41^2/(1-2*$B$41*(1-$B$41))))</f>
        <v>0.197525964256648</v>
      </c>
      <c r="S9" s="5" t="n">
        <f aca="false">S8*(1-($B$42^4*(1+4*(1-$B$42)+10*(1-$B$42)^2)+20*$B$42^3*(1-$B$42)^3*$B$42^2/(1-2*$B$42*(1-$B$42))))+R9*(1-(1-($B$42^4*(1+4*(1-$B$42)+10*(1-$B$42)^2)+20*$B$42^3*(1-$B$42)^3*$B$42^2/(1-2*$B$42*(1-$B$42)))))</f>
        <v>0.253477086985331</v>
      </c>
      <c r="T9" s="5" t="n">
        <f aca="false">T8*($B$41^4*(1+4*(1-$B$41)+10*(1-$B$41)^2)+20*$B$41^3*(1-$B$41)^3*$B$41^2/(1-2*$B$41*(1-$B$41)))+S9*(1-($B$41^4*(1+4*(1-$B$41)+10*(1-$B$41)^2)+20*$B$41^3*(1-$B$41)^3*$B$41^2/(1-2*$B$41*(1-$B$41))))</f>
        <v>0.378053312684735</v>
      </c>
      <c r="U9" s="5" t="n">
        <f aca="false">U8*(1-($B$42^4*(1+4*(1-$B$42)+10*(1-$B$42)^2)+20*$B$42^3*(1-$B$42)^3*$B$42^2/(1-2*$B$42*(1-$B$42))))+T9*(1-(1-($B$42^4*(1+4*(1-$B$42)+10*(1-$B$42)^2)+20*$B$42^3*(1-$B$42)^3*$B$42^2/(1-2*$B$42*(1-$B$42)))))</f>
        <v>0.350896580041845</v>
      </c>
      <c r="V9" s="5" t="n">
        <f aca="false">V8*($B$41^4*(1+4*(1-$B$41)+10*(1-$B$41)^2)+20*$B$41^3*(1-$B$41)^3*$B$41^2/(1-2*$B$41*(1-$B$41)))+U9*(1-($B$41^4*(1+4*(1-$B$41)+10*(1-$B$41)^2)+20*$B$41^3*(1-$B$41)^3*$B$41^2/(1-2*$B$41*(1-$B$41))))</f>
        <v>0.243175441655011</v>
      </c>
      <c r="W9" s="5" t="n">
        <f aca="false">V9*(1-(1-($B$42^4*(1+4*(1-$B$42)+10*(1-$B$42)^2)+20*$B$42^3*(1-$B$42)^3*$B$42^2/(1-2*$B$42*(1-$B$42)))))</f>
        <v>0.189273034614914</v>
      </c>
    </row>
    <row r="10" customFormat="false" ht="15" hidden="false" customHeight="false" outlineLevel="0" collapsed="false">
      <c r="A10" s="0" t="s">
        <v>19</v>
      </c>
      <c r="B10" s="4" t="n">
        <v>-0.00173062064753871</v>
      </c>
      <c r="H10" s="5" t="n">
        <f aca="false">H9*$B$41</f>
        <v>0.036671057731734</v>
      </c>
      <c r="I10" s="5" t="n">
        <f aca="false">I9*(1-$B$42)+H10*(1-(1-$B$42))</f>
        <v>0.0923289102659877</v>
      </c>
      <c r="J10" s="5" t="n">
        <f aca="false">J9*(1-$B$42)+I10*(1-(1-$B$42))</f>
        <v>0.14974819640414</v>
      </c>
      <c r="K10" s="5" t="n">
        <f aca="false">K9*$B$41+J10*(1-$B$41)</f>
        <v>0.229138757337774</v>
      </c>
      <c r="L10" s="5" t="n">
        <f aca="false">L9*$B$41+K10*(1-$B$41)</f>
        <v>0.264032641764877</v>
      </c>
      <c r="M10" s="5" t="n">
        <f aca="false">M9*(1-$B$42)+L10*(1-(1-$B$42))</f>
        <v>0.255350305541707</v>
      </c>
      <c r="N10" s="5" t="n">
        <f aca="false">N9*(1-$B$42)+M10*(1-(1-$B$42))</f>
        <v>0.235717092064389</v>
      </c>
      <c r="Q10" s="5" t="n">
        <f aca="false">Q9*($B$41^4*(1+4*(1-$B$41)+10*(1-$B$41)^2)+20*$B$41^3*(1-$B$41)^3*$B$41^2/(1-2*$B$41*(1-$B$41)))</f>
        <v>0.0254617655463995</v>
      </c>
      <c r="R10" s="5" t="n">
        <f aca="false">R9*(1-($B$42^4*(1+4*(1-$B$42)+10*(1-$B$42)^2)+20*$B$42^3*(1-$B$42)^3*$B$42^2/(1-2*$B$42*(1-$B$42))))+Q10*(1-(1-($B$42^4*(1+4*(1-$B$42)+10*(1-$B$42)^2)+20*$B$42^3*(1-$B$42)^3*$B$42^2/(1-2*$B$42*(1-$B$42)))))</f>
        <v>0.063601613932347</v>
      </c>
      <c r="S10" s="5" t="n">
        <f aca="false">S9*($B$41^4*(1+4*(1-$B$41)+10*(1-$B$41)^2)+20*$B$41^3*(1-$B$41)^3*$B$41^2/(1-2*$B$41*(1-$B$41)))+R10*(1-($B$41^4*(1+4*(1-$B$41)+10*(1-$B$41)^2)+20*$B$41^3*(1-$B$41)^3*$B$41^2/(1-2*$B$41*(1-$B$41))))</f>
        <v>0.216114337408505</v>
      </c>
      <c r="T10" s="5" t="n">
        <f aca="false">T9*(1-($B$42^4*(1+4*(1-$B$42)+10*(1-$B$42)^2)+20*$B$42^3*(1-$B$42)^3*$B$42^2/(1-2*$B$42*(1-$B$42))))+S10*(1-(1-($B$42^4*(1+4*(1-$B$42)+10*(1-$B$42)^2)+20*$B$42^3*(1-$B$42)^3*$B$42^2/(1-2*$B$42*(1-$B$42)))))</f>
        <v>0.252009822995323</v>
      </c>
      <c r="U10" s="5" t="n">
        <f aca="false">U9*($B$41^4*(1+4*(1-$B$41)+10*(1-$B$41)^2)+20*$B$41^3*(1-$B$41)^3*$B$41^2/(1-2*$B$41*(1-$B$41)))+T10*(1-($B$41^4*(1+4*(1-$B$41)+10*(1-$B$41)^2)+20*$B$41^3*(1-$B$41)^3*$B$41^2/(1-2*$B$41*(1-$B$41))))</f>
        <v>0.33143813667058</v>
      </c>
      <c r="V10" s="5" t="n">
        <f aca="false">V9*(1-($B$42^4*(1+4*(1-$B$42)+10*(1-$B$42)^2)+20*$B$42^3*(1-$B$42)^3*$B$42^2/(1-2*$B$42*(1-$B$42))))+U10*(1-(1-($B$42^4*(1+4*(1-$B$42)+10*(1-$B$42)^2)+20*$B$42^3*(1-$B$42)^3*$B$42^2/(1-2*$B$42*(1-$B$42)))))</f>
        <v>0.311873777371771</v>
      </c>
      <c r="W10" s="5" t="n">
        <f aca="false">V10*(1-($B$41^4*(1+4*(1-$B$41)+10*(1-$B$41)^2)+20*$B$41^3*(1-$B$41)^3*$B$41^2/(1-2*$B$41*(1-$B$41))))</f>
        <v>0.0613689680724</v>
      </c>
    </row>
    <row r="11" customFormat="false" ht="15" hidden="false" customHeight="false" outlineLevel="0" collapsed="false">
      <c r="A11" s="0" t="s">
        <v>20</v>
      </c>
      <c r="B11" s="4" t="n">
        <v>0.1</v>
      </c>
      <c r="H11" s="5" t="n">
        <f aca="false">H10*(1-$B$42)</f>
        <v>0.0138876753105837</v>
      </c>
      <c r="I11" s="5" t="n">
        <f aca="false">I10*(1-$B$42)+H11*(1-(1-$B$42))</f>
        <v>0.0435941105596317</v>
      </c>
      <c r="J11" s="5" t="n">
        <f aca="false">J10*$B$41+I11*(1-$B$41)</f>
        <v>0.110970403971265</v>
      </c>
      <c r="K11" s="5" t="n">
        <f aca="false">K10*$B$41+J11*(1-$B$41)</f>
        <v>0.185972186380787</v>
      </c>
      <c r="L11" s="5" t="n">
        <f aca="false">L10*(1-$B$42)+K11*(1-(1-$B$42))</f>
        <v>0.215534416816055</v>
      </c>
      <c r="M11" s="5" t="n">
        <f aca="false">M10*(1-$B$42)+L11*(1-(1-$B$42))</f>
        <v>0.230613069274604</v>
      </c>
      <c r="N11" s="5" t="n">
        <f aca="false">N10*$B$41+M11*(1-$B$41)</f>
        <v>0.233852606729318</v>
      </c>
      <c r="Q11" s="5" t="n">
        <f aca="false">Q10*(1-($B$42^4*(1+4*(1-$B$42)+10*(1-$B$42)^2)+20*$B$42^3*(1-$B$42)^3*$B$42^2/(1-2*$B$42*(1-$B$42))))</f>
        <v>0.00564386946766036</v>
      </c>
      <c r="R11" s="5" t="n">
        <f aca="false">R10*($B$41^4*(1+4*(1-$B$41)+10*(1-$B$41)^2)+20*$B$41^3*(1-$B$41)^3*$B$41^2/(1-2*$B$41*(1-$B$41)))</f>
        <v>0.0510864052230411</v>
      </c>
      <c r="S11" s="5" t="n">
        <f aca="false">S10*(1-($B$42^4*(1+4*(1-$B$42)+10*(1-$B$42)^2)+20*$B$42^3*(1-$B$42)^3*$B$42^2/(1-2*$B$42*(1-$B$42))))</f>
        <v>0.0479040272443318</v>
      </c>
      <c r="T11" s="5" t="n">
        <f aca="false">T10*($B$41^4*(1+4*(1-$B$41)+10*(1-$B$41)^2)+20*$B$41^3*(1-$B$41)^3*$B$41^2/(1-2*$B$41*(1-$B$41)))</f>
        <v>0.202420585606841</v>
      </c>
      <c r="U11" s="5" t="n">
        <f aca="false">U10*(1-($B$42^4*(1+4*(1-$B$42)+10*(1-$B$42)^2)+20*$B$42^3*(1-$B$42)^3*$B$42^2/(1-2*$B$42*(1-$B$42))))</f>
        <v>0.0734667663389057</v>
      </c>
      <c r="V11" s="5" t="n">
        <f aca="false">V10*($B$41^4*(1+4*(1-$B$41)+10*(1-$B$41)^2)+20*$B$41^3*(1-$B$41)^3*$B$41^2/(1-2*$B$41*(1-$B$41)))</f>
        <v>0.250504809299371</v>
      </c>
      <c r="W11" s="5" t="n">
        <f aca="false">W10*(1-($B$42^4*(1+4*(1-$B$42)+10*(1-$B$42)^2)+20*$B$42^3*(1-$B$42)^3*$B$42^2/(1-2*$B$42*(1-$B$42))))+V11*(1-(1-($B$42^4*(1+4*(1-$B$42)+10*(1-$B$42)^2)+20*$B$42^3*(1-$B$42)^3*$B$42^2/(1-2*$B$42*(1-$B$42)))))</f>
        <v>0.208580850900025</v>
      </c>
    </row>
    <row r="12" customFormat="false" ht="15" hidden="false" customHeight="false" outlineLevel="0" collapsed="false">
      <c r="A12" s="0" t="s">
        <v>21</v>
      </c>
      <c r="B12" s="4" t="n">
        <v>0</v>
      </c>
      <c r="G12" s="5" t="s">
        <v>22</v>
      </c>
      <c r="H12" s="5" t="n">
        <f aca="false">H11*(1-$B$42)+I11*$B$41+J11*$B$41+K11*(1-$B$42)+L11*(1-$B$42)+M11*$B$41+N11*($B$41*(1-$B$42))/(($B$41*(1-$B$42))+((1-$B$41)*$B$42))</f>
        <v>0.52206910630064</v>
      </c>
      <c r="P12" s="5" t="s">
        <v>23</v>
      </c>
      <c r="Q12" s="5" t="n">
        <f aca="false">Q11+R11+S11+T11+U11+V11*(1-($B$42^4*(1+4*(1-$B$42)+10*(1-$B$42)^2)+20*$B$42^3*(1-$B$42)^3*$B$42^2/(1-2*$B$42*(1-$B$42))))+W11*H12</f>
        <v>0.544942311152459</v>
      </c>
    </row>
    <row r="13" customFormat="false" ht="15" hidden="false" customHeight="false" outlineLevel="0" collapsed="false">
      <c r="A13" s="0" t="s">
        <v>24</v>
      </c>
      <c r="B13" s="4" t="n">
        <v>0</v>
      </c>
    </row>
    <row r="14" customFormat="false" ht="15" hidden="false" customHeight="false" outlineLevel="0" collapsed="false">
      <c r="A14" s="0" t="s">
        <v>25</v>
      </c>
      <c r="B14" s="4" t="n">
        <v>0</v>
      </c>
      <c r="G14" s="3" t="s">
        <v>26</v>
      </c>
      <c r="P14" s="3" t="s">
        <v>27</v>
      </c>
    </row>
    <row r="15" customFormat="false" ht="15" hidden="false" customHeight="false" outlineLevel="0" collapsed="false">
      <c r="A15" s="0" t="s">
        <v>28</v>
      </c>
      <c r="B15" s="4" t="n">
        <v>0</v>
      </c>
      <c r="H15" s="0" t="n">
        <v>1</v>
      </c>
      <c r="I15" s="5" t="n">
        <f aca="false">H15*(1-$C$41)</f>
        <v>0.365297219832647</v>
      </c>
      <c r="J15" s="5" t="n">
        <f aca="false">I15*(1-(1-$C$42))</f>
        <v>0.226955718531893</v>
      </c>
      <c r="K15" s="5" t="n">
        <f aca="false">J15*(1-(1-$C$42))</f>
        <v>0.141005448105861</v>
      </c>
      <c r="L15" s="5" t="n">
        <f aca="false">K15*(1-$C$41)</f>
        <v>0.0515088981743278</v>
      </c>
      <c r="M15" s="5" t="n">
        <f aca="false">L15*(1-$C$41)</f>
        <v>0.0188160572997249</v>
      </c>
      <c r="N15" s="5" t="n">
        <f aca="false">M15*(1-(1-$C$42))</f>
        <v>0.0116902389959407</v>
      </c>
      <c r="Q15" s="0" t="n">
        <v>1</v>
      </c>
      <c r="R15" s="5" t="n">
        <f aca="false">Q15*(1-($C$41^4*(1+4*(1-$C$41)+10*(1-$C$41)^2)+20*$C$41^3*(1-$C$41)^3*$C$41^2/(1-2*$C$41*(1-$C$41))))</f>
        <v>0.196775017731756</v>
      </c>
      <c r="S15" s="5" t="n">
        <f aca="false">R15*(1-(1-($C$42^4*(1+4*(1-$C$42)+10*(1-$C$42)^2)+20*$C$42^3*(1-$C$42)^3*$C$42^2/(1-2*$C$42*(1-$C$42)))))</f>
        <v>0.153157755112997</v>
      </c>
      <c r="T15" s="5" t="n">
        <f aca="false">S15*(1-($C$41^4*(1+4*(1-$C$41)+10*(1-$C$41)^2)+20*$C$41^3*(1-$C$41)^3*$C$41^2/(1-2*$C$41*(1-$C$41))))</f>
        <v>0.0301376199781159</v>
      </c>
      <c r="U15" s="5" t="n">
        <f aca="false">T15*(1-(1-($C$42^4*(1+4*(1-$C$42)+10*(1-$C$42)^2)+20*$C$42^3*(1-$C$42)^3*$C$42^2/(1-2*$C$42*(1-$C$42)))))</f>
        <v>0.0234572979512527</v>
      </c>
      <c r="V15" s="5" t="n">
        <f aca="false">U15*(1-($C$41^4*(1+4*(1-$C$41)+10*(1-$C$41)^2)+20*$C$41^3*(1-$C$41)^3*$C$41^2/(1-2*$C$41*(1-$C$41))))</f>
        <v>0.00461581022029683</v>
      </c>
      <c r="W15" s="5" t="n">
        <f aca="false">V15*(1-(1-($C$42^4*(1+4*(1-$C$42)+10*(1-$C$42)^2)+20*$C$42^3*(1-$C$42)^3*$C$42^2/(1-2*$C$42*(1-$C$42)))))</f>
        <v>0.00359266709523055</v>
      </c>
    </row>
    <row r="16" customFormat="false" ht="15" hidden="false" customHeight="false" outlineLevel="0" collapsed="false">
      <c r="A16" s="0" t="s">
        <v>29</v>
      </c>
      <c r="B16" s="4" t="n">
        <v>0</v>
      </c>
      <c r="H16" s="5" t="n">
        <f aca="false">H15*$C$41</f>
        <v>0.634702780167353</v>
      </c>
      <c r="I16" s="5" t="n">
        <f aca="false">I15*(1-$C$42)+H16*(1-(1-$C$42))</f>
        <v>0.53267635441862</v>
      </c>
      <c r="J16" s="5" t="n">
        <f aca="false">J15*(1-$C$42)+I16*(1-(1-$C$42))</f>
        <v>0.416897067167085</v>
      </c>
      <c r="K16" s="5" t="n">
        <f aca="false">K15*$C$41+J16*(1-$C$41)</f>
        <v>0.241787889524054</v>
      </c>
      <c r="L16" s="5" t="n">
        <f aca="false">L15*$C$41+K16*(1-$C$41)</f>
        <v>0.121017284706943</v>
      </c>
      <c r="M16" s="5" t="n">
        <f aca="false">M15*(1-$C$42)+L16*(1-(1-$C$42))</f>
        <v>0.0823127162988625</v>
      </c>
      <c r="N16" s="5" t="n">
        <f aca="false">N15*(1-$C$42)+M16*(1-(1-$C$42))</f>
        <v>0.055567318290795</v>
      </c>
      <c r="Q16" s="5" t="n">
        <f aca="false">Q15*($C$41^4*(1+4*(1-$C$41)+10*(1-$C$41)^2)+20*$C$41^3*(1-$C$41)^3*$C$41^2/(1-2*$C$41*(1-$C$41)))</f>
        <v>0.803224982268244</v>
      </c>
      <c r="R16" s="5" t="n">
        <f aca="false">R15*(1-($C$42^4*(1+4*(1-$C$42)+10*(1-$C$42)^2)+20*$C$42^3*(1-$C$42)^3*$C$42^2/(1-2*$C$42*(1-$C$42))))+Q16*(1-(1-($C$42^4*(1+4*(1-$C$42)+10*(1-$C$42)^2)+20*$C$42^3*(1-$C$42)^3*$C$42^2/(1-2*$C$42*(1-$C$42)))))</f>
        <v>0.668798937370694</v>
      </c>
      <c r="S16" s="5" t="n">
        <f aca="false">S15*($C$41^4*(1+4*(1-$C$41)+10*(1-$C$41)^2)+20*$C$41^3*(1-$C$41)^3*$C$41^2/(1-2*$C$41*(1-$C$41)))+R16*(1-($C$41^4*(1+4*(1-$C$41)+10*(1-$C$41)^2)+20*$C$41^3*(1-$C$41)^3*$C$41^2/(1-2*$C$41*(1-$C$41))))</f>
        <v>0.254623057894979</v>
      </c>
      <c r="T16" s="5" t="n">
        <f aca="false">T15*(1-($C$42^4*(1+4*(1-$C$42)+10*(1-$C$42)^2)+20*$C$42^3*(1-$C$42)^3*$C$42^2/(1-2*$C$42*(1-$C$42))))+S16*(1-(1-($C$42^4*(1+4*(1-$C$42)+10*(1-$C$42)^2)+20*$C$42^3*(1-$C$42)^3*$C$42^2/(1-2*$C$42*(1-$C$42)))))</f>
        <v>0.204863487739306</v>
      </c>
      <c r="U16" s="5" t="n">
        <f aca="false">U15*($C$41^4*(1+4*(1-$C$41)+10*(1-$C$41)^2)+20*$C$41^3*(1-$C$41)^3*$C$41^2/(1-2*$C$41*(1-$C$41)))+T16*(1-($C$41^4*(1+4*(1-$C$41)+10*(1-$C$41)^2)+20*$C$41^3*(1-$C$41)^3*$C$41^2/(1-2*$C$41*(1-$C$41))))</f>
        <v>0.0591535041634472</v>
      </c>
      <c r="V16" s="5" t="n">
        <f aca="false">V15*(1-($C$42^4*(1+4*(1-$C$42)+10*(1-$C$42)^2)+20*$C$42^3*(1-$C$42)^3*$C$42^2/(1-2*$C$42*(1-$C$42))))+U16*(1-(1-($C$42^4*(1+4*(1-$C$42)+10*(1-$C$42)^2)+20*$C$42^3*(1-$C$42)^3*$C$42^2/(1-2*$C$42*(1-$C$42)))))</f>
        <v>0.0470646478301566</v>
      </c>
      <c r="W16" s="5" t="n">
        <f aca="false">V16*(1-($C$41^4*(1+4*(1-$C$41)+10*(1-$C$41)^2)+20*$C$41^3*(1-$C$41)^3*$C$41^2/(1-2*$C$41*(1-$C$41))))</f>
        <v>0.00926114691131791</v>
      </c>
    </row>
    <row r="17" customFormat="false" ht="15" hidden="false" customHeight="false" outlineLevel="0" collapsed="false">
      <c r="A17" s="0" t="s">
        <v>30</v>
      </c>
      <c r="B17" s="4" t="n">
        <v>0</v>
      </c>
      <c r="H17" s="5" t="n">
        <f aca="false">H16*(1-$C$42)</f>
        <v>0.240367927049487</v>
      </c>
      <c r="I17" s="5" t="n">
        <f aca="false">I16*(1-$C$42)+H17*(1-(1-$C$42))</f>
        <v>0.35106788448041</v>
      </c>
      <c r="J17" s="5" t="n">
        <f aca="false">J16*$C$41+I17*(1-$C$41)</f>
        <v>0.392849849747787</v>
      </c>
      <c r="K17" s="5" t="n">
        <f aca="false">K16*$C$41+J17*(1-$C$41)</f>
        <v>0.296970403616254</v>
      </c>
      <c r="L17" s="5" t="n">
        <f aca="false">L16*(1-$C$42)+K17*(1-(1-$C$42))</f>
        <v>0.230335298537667</v>
      </c>
      <c r="M17" s="5" t="n">
        <f aca="false">M16*(1-$C$42)+L17*(1-(1-$C$42))</f>
        <v>0.174277751035082</v>
      </c>
      <c r="N17" s="5" t="n">
        <f aca="false">N16*$C$41+M17*(1-$C$41)</f>
        <v>0.0989319093374137</v>
      </c>
      <c r="Q17" s="5" t="n">
        <f aca="false">Q16*(1-($C$42^4*(1+4*(1-$C$42)+10*(1-$C$42)^2)+20*$C$42^3*(1-$C$42)^3*$C$42^2/(1-2*$C$42*(1-$C$42))))</f>
        <v>0.17804330751631</v>
      </c>
      <c r="R17" s="5" t="n">
        <f aca="false">R16*($C$41^4*(1+4*(1-$C$41)+10*(1-$C$41)^2)+20*$C$41^3*(1-$C$41)^3*$C$41^2/(1-2*$C$41*(1-$C$41)))+Q17*(1-($C$41^4*(1+4*(1-$C$41)+10*(1-$C$41)^2)+20*$C$41^3*(1-$C$41)^3*$C$41^2/(1-2*$C$41*(1-$C$41))))</f>
        <v>0.572230489604138</v>
      </c>
      <c r="S17" s="5" t="n">
        <f aca="false">S16*(1-($C$42^4*(1+4*(1-$C$42)+10*(1-$C$42)^2)+20*$C$42^3*(1-$C$42)^3*$C$42^2/(1-2*$C$42*(1-$C$42))))+R17*(1-(1-($C$42^4*(1+4*(1-$C$42)+10*(1-$C$42)^2)+20*$C$42^3*(1-$C$42)^3*$C$42^2/(1-2*$C$42*(1-$C$42)))))</f>
        <v>0.501829445212351</v>
      </c>
      <c r="T17" s="5" t="n">
        <f aca="false">T16*($C$41^4*(1+4*(1-$C$41)+10*(1-$C$41)^2)+20*$C$41^3*(1-$C$41)^3*$C$41^2/(1-2*$C$41*(1-$C$41)))+S17*(1-($C$41^4*(1+4*(1-$C$41)+10*(1-$C$41)^2)+20*$C$41^3*(1-$C$41)^3*$C$41^2/(1-2*$C$41*(1-$C$41))))</f>
        <v>0.263298969286793</v>
      </c>
      <c r="U17" s="5" t="n">
        <f aca="false">U16*(1-($C$42^4*(1+4*(1-$C$42)+10*(1-$C$42)^2)+20*$C$42^3*(1-$C$42)^3*$C$42^2/(1-2*$C$42*(1-$C$42))))+T17*(1-(1-($C$42^4*(1+4*(1-$C$42)+10*(1-$C$42)^2)+20*$C$42^3*(1-$C$42)^3*$C$42^2/(1-2*$C$42*(1-$C$42)))))</f>
        <v>0.218047969097063</v>
      </c>
      <c r="V17" s="5" t="n">
        <f aca="false">V16*($C$41^4*(1+4*(1-$C$41)+10*(1-$C$41)^2)+20*$C$41^3*(1-$C$41)^3*$C$41^2/(1-2*$C$41*(1-$C$41)))+U17*(1-($C$41^4*(1+4*(1-$C$41)+10*(1-$C$41)^2)+20*$C$41^3*(1-$C$41)^3*$C$41^2/(1-2*$C$41*(1-$C$41))))</f>
        <v>0.0807098939042866</v>
      </c>
      <c r="W17" s="5" t="n">
        <f aca="false">V17*(1-(1-($C$42^4*(1+4*(1-$C$42)+10*(1-$C$42)^2)+20*$C$42^3*(1-$C$42)^3*$C$42^2/(1-2*$C$42*(1-$C$42)))))</f>
        <v>0.0628196928059215</v>
      </c>
    </row>
    <row r="18" customFormat="false" ht="15" hidden="false" customHeight="false" outlineLevel="0" collapsed="false">
      <c r="A18" s="0" t="s">
        <v>31</v>
      </c>
      <c r="B18" s="4" t="n">
        <v>0</v>
      </c>
      <c r="H18" s="5" t="n">
        <f aca="false">H17*(1-$C$42)</f>
        <v>0.0910296002466439</v>
      </c>
      <c r="I18" s="5" t="n">
        <f aca="false">I17*$C$41+H18*(1-$C$41)</f>
        <v>0.256076622199763</v>
      </c>
      <c r="J18" s="5" t="n">
        <f aca="false">J17*$C$41+I18*(1-$C$41)</f>
        <v>0.342886969976956</v>
      </c>
      <c r="K18" s="5" t="n">
        <f aca="false">K17*(1-$C$42)+J18*(1-(1-$C$42))</f>
        <v>0.325497933378689</v>
      </c>
      <c r="L18" s="5" t="n">
        <f aca="false">L17*(1-$C$42)+K18*(1-(1-$C$42))</f>
        <v>0.289458946337742</v>
      </c>
      <c r="M18" s="5" t="n">
        <f aca="false">M17*$C$41+L18*(1-$C$41)</f>
        <v>0.216353121456145</v>
      </c>
      <c r="N18" s="5" t="n">
        <f aca="false">N17*$C$41+M18*(1-$C$41)</f>
        <v>0.141825551673766</v>
      </c>
      <c r="Q18" s="5" t="n">
        <f aca="false">Q17*($C$41^4*(1+4*(1-$C$41)+10*(1-$C$41)^2)+20*$C$41^3*(1-$C$41)^3*$C$41^2/(1-2*$C$41*(1-$C$41)))</f>
        <v>0.143008832522767</v>
      </c>
      <c r="R18" s="5" t="n">
        <f aca="false">R17*(1-($C$42^4*(1+4*(1-$C$42)+10*(1-$C$42)^2)+20*$C$42^3*(1-$C$42)^3*$C$42^2/(1-2*$C$42*(1-$C$42))))+Q18*(1-(1-($C$42^4*(1+4*(1-$C$42)+10*(1-$C$42)^2)+20*$C$42^3*(1-$C$42)^3*$C$42^2/(1-2*$C$42*(1-$C$42)))))</f>
        <v>0.238150349745743</v>
      </c>
      <c r="S18" s="5" t="n">
        <f aca="false">S17*($C$41^4*(1+4*(1-$C$41)+10*(1-$C$41)^2)+20*$C$41^3*(1-$C$41)^3*$C$41^2/(1-2*$C$41*(1-$C$41)))+R18*(1-($C$41^4*(1+4*(1-$C$41)+10*(1-$C$41)^2)+20*$C$41^3*(1-$C$41)^3*$C$41^2/(1-2*$C$41*(1-$C$41))))</f>
        <v>0.449943986526416</v>
      </c>
      <c r="T18" s="5" t="n">
        <f aca="false">T17*(1-($C$42^4*(1+4*(1-$C$42)+10*(1-$C$42)^2)+20*$C$42^3*(1-$C$42)^3*$C$42^2/(1-2*$C$42*(1-$C$42))))+S18*(1-(1-($C$42^4*(1+4*(1-$C$42)+10*(1-$C$42)^2)+20*$C$42^3*(1-$C$42)^3*$C$42^2/(1-2*$C$42*(1-$C$42)))))</f>
        <v>0.408572145592211</v>
      </c>
      <c r="U18" s="5" t="n">
        <f aca="false">U17*($C$41^4*(1+4*(1-$C$41)+10*(1-$C$41)^2)+20*$C$41^3*(1-$C$41)^3*$C$41^2/(1-2*$C$41*(1-$C$41)))+T18*(1-($C$41^4*(1+4*(1-$C$41)+10*(1-$C$41)^2)+20*$C$41^3*(1-$C$41)^3*$C$41^2/(1-2*$C$41*(1-$C$41))))</f>
        <v>0.255538367305224</v>
      </c>
      <c r="V18" s="5" t="n">
        <f aca="false">V17*(1-($C$42^4*(1+4*(1-$C$42)+10*(1-$C$42)^2)+20*$C$42^3*(1-$C$42)^3*$C$42^2/(1-2*$C$42*(1-$C$42))))+U18*(1-(1-($C$42^4*(1+4*(1-$C$42)+10*(1-$C$42)^2)+20*$C$42^3*(1-$C$42)^3*$C$42^2/(1-2*$C$42*(1-$C$42)))))</f>
        <v>0.216785788215328</v>
      </c>
      <c r="W18" s="5" t="n">
        <f aca="false">V18*(1-($C$41^4*(1+4*(1-$C$41)+10*(1-$C$41)^2)+20*$C$41^3*(1-$C$41)^3*$C$41^2/(1-2*$C$41*(1-$C$41))))</f>
        <v>0.042658027320064</v>
      </c>
    </row>
    <row r="19" customFormat="false" ht="15" hidden="false" customHeight="false" outlineLevel="0" collapsed="false">
      <c r="A19" s="0" t="s">
        <v>32</v>
      </c>
      <c r="B19" s="4" t="n">
        <v>0</v>
      </c>
      <c r="H19" s="5" t="n">
        <f aca="false">H18*$C$41</f>
        <v>0.0577767403540676</v>
      </c>
      <c r="I19" s="5" t="n">
        <f aca="false">I18*$C$41+H19*(1-$C$41)</f>
        <v>0.183638226668388</v>
      </c>
      <c r="J19" s="5" t="n">
        <f aca="false">J18*(1-$C$42)+I19*(1-(1-$C$42))</f>
        <v>0.24394722721227</v>
      </c>
      <c r="K19" s="5" t="n">
        <f aca="false">K18*(1-$C$42)+J19*(1-(1-$C$42))</f>
        <v>0.274831248526113</v>
      </c>
      <c r="L19" s="5" t="n">
        <f aca="false">L18*$C$41+K19*(1-$C$41)</f>
        <v>0.284115488994602</v>
      </c>
      <c r="M19" s="5" t="n">
        <f aca="false">M18*$C$41+L19*(1-$C$41)</f>
        <v>0.241106525927222</v>
      </c>
      <c r="N19" s="5" t="n">
        <f aca="false">N18*(1-$C$42)+M19*(1-(1-$C$42))</f>
        <v>0.20350788492164</v>
      </c>
      <c r="Q19" s="5" t="n">
        <f aca="false">Q18*(1-($C$42^4*(1+4*(1-$C$42)+10*(1-$C$42)^2)+20*$C$42^3*(1-$C$42)^3*$C$42^2/(1-2*$C$42*(1-$C$42))))</f>
        <v>0.0316994193513472</v>
      </c>
      <c r="R19" s="5" t="n">
        <f aca="false">R18*($C$41^4*(1+4*(1-$C$41)+10*(1-$C$41)^2)+20*$C$41^3*(1-$C$41)^3*$C$41^2/(1-2*$C$41*(1-$C$41)))+Q19*(1-($C$41^4*(1+4*(1-$C$41)+10*(1-$C$41)^2)+20*$C$41^3*(1-$C$41)^3*$C$41^2/(1-2*$C$41*(1-$C$41))))</f>
        <v>0.197525964256648</v>
      </c>
      <c r="S19" s="5" t="n">
        <f aca="false">S18*(1-($C$42^4*(1+4*(1-$C$42)+10*(1-$C$42)^2)+20*$C$42^3*(1-$C$42)^3*$C$42^2/(1-2*$C$42*(1-$C$42))))+R19*(1-(1-($C$42^4*(1+4*(1-$C$42)+10*(1-$C$42)^2)+20*$C$42^3*(1-$C$42)^3*$C$42^2/(1-2*$C$42*(1-$C$42)))))</f>
        <v>0.253477086985331</v>
      </c>
      <c r="T19" s="5" t="n">
        <f aca="false">T18*($C$41^4*(1+4*(1-$C$41)+10*(1-$C$41)^2)+20*$C$41^3*(1-$C$41)^3*$C$41^2/(1-2*$C$41*(1-$C$41)))+S19*(1-($C$41^4*(1+4*(1-$C$41)+10*(1-$C$41)^2)+20*$C$41^3*(1-$C$41)^3*$C$41^2/(1-2*$C$41*(1-$C$41))))</f>
        <v>0.378053312684735</v>
      </c>
      <c r="U19" s="5" t="n">
        <f aca="false">U18*(1-($C$42^4*(1+4*(1-$C$42)+10*(1-$C$42)^2)+20*$C$42^3*(1-$C$42)^3*$C$42^2/(1-2*$C$42*(1-$C$42))))+T19*(1-(1-($C$42^4*(1+4*(1-$C$42)+10*(1-$C$42)^2)+20*$C$42^3*(1-$C$42)^3*$C$42^2/(1-2*$C$42*(1-$C$42)))))</f>
        <v>0.350896580041845</v>
      </c>
      <c r="V19" s="5" t="n">
        <f aca="false">V18*($C$41^4*(1+4*(1-$C$41)+10*(1-$C$41)^2)+20*$C$41^3*(1-$C$41)^3*$C$41^2/(1-2*$C$41*(1-$C$41)))+U19*(1-($C$41^4*(1+4*(1-$C$41)+10*(1-$C$41)^2)+20*$C$41^3*(1-$C$41)^3*$C$41^2/(1-2*$C$41*(1-$C$41))))</f>
        <v>0.243175441655011</v>
      </c>
      <c r="W19" s="5" t="n">
        <f aca="false">V19*(1-(1-($C$42^4*(1+4*(1-$C$42)+10*(1-$C$42)^2)+20*$C$42^3*(1-$C$42)^3*$C$42^2/(1-2*$C$42*(1-$C$42)))))</f>
        <v>0.189273034614914</v>
      </c>
    </row>
    <row r="20" customFormat="false" ht="15" hidden="false" customHeight="false" outlineLevel="0" collapsed="false">
      <c r="A20" s="0" t="s">
        <v>33</v>
      </c>
      <c r="B20" s="4" t="n">
        <v>0</v>
      </c>
      <c r="H20" s="5" t="n">
        <f aca="false">H19*$C$41</f>
        <v>0.036671057731734</v>
      </c>
      <c r="I20" s="5" t="n">
        <f aca="false">I19*(1-$C$42)+H20*(1-(1-$C$42))</f>
        <v>0.0923289102659877</v>
      </c>
      <c r="J20" s="5" t="n">
        <f aca="false">J19*(1-$C$42)+I20*(1-(1-$C$42))</f>
        <v>0.14974819640414</v>
      </c>
      <c r="K20" s="5" t="n">
        <f aca="false">K19*$C$41+J20*(1-$C$41)</f>
        <v>0.229138757337774</v>
      </c>
      <c r="L20" s="5" t="n">
        <f aca="false">L19*$C$41+K20*(1-$C$41)</f>
        <v>0.264032641764877</v>
      </c>
      <c r="M20" s="5" t="n">
        <f aca="false">M19*(1-$C$42)+L20*(1-(1-$C$42))</f>
        <v>0.255350305541707</v>
      </c>
      <c r="N20" s="5" t="n">
        <f aca="false">N19*(1-$C$42)+M20*(1-(1-$C$42))</f>
        <v>0.235717092064389</v>
      </c>
      <c r="Q20" s="5" t="n">
        <f aca="false">Q19*($C$41^4*(1+4*(1-$C$41)+10*(1-$C$41)^2)+20*$C$41^3*(1-$C$41)^3*$C$41^2/(1-2*$C$41*(1-$C$41)))</f>
        <v>0.0254617655463995</v>
      </c>
      <c r="R20" s="5" t="n">
        <f aca="false">R19*(1-($C$42^4*(1+4*(1-$C$42)+10*(1-$C$42)^2)+20*$C$42^3*(1-$C$42)^3*$C$42^2/(1-2*$C$42*(1-$C$42))))+Q20*(1-(1-($C$42^4*(1+4*(1-$C$42)+10*(1-$C$42)^2)+20*$C$42^3*(1-$C$42)^3*$C$42^2/(1-2*$C$42*(1-$C$42)))))</f>
        <v>0.063601613932347</v>
      </c>
      <c r="S20" s="5" t="n">
        <f aca="false">S19*($C$41^4*(1+4*(1-$C$41)+10*(1-$C$41)^2)+20*$C$41^3*(1-$C$41)^3*$C$41^2/(1-2*$C$41*(1-$C$41)))+R20*(1-($C$41^4*(1+4*(1-$C$41)+10*(1-$C$41)^2)+20*$C$41^3*(1-$C$41)^3*$C$41^2/(1-2*$C$41*(1-$C$41))))</f>
        <v>0.216114337408505</v>
      </c>
      <c r="T20" s="5" t="n">
        <f aca="false">T19*(1-($C$42^4*(1+4*(1-$C$42)+10*(1-$C$42)^2)+20*$C$42^3*(1-$C$42)^3*$C$42^2/(1-2*$C$42*(1-$C$42))))+S20*(1-(1-($C$42^4*(1+4*(1-$C$42)+10*(1-$C$42)^2)+20*$C$42^3*(1-$C$42)^3*$C$42^2/(1-2*$C$42*(1-$C$42)))))</f>
        <v>0.252009822995323</v>
      </c>
      <c r="U20" s="5" t="n">
        <f aca="false">U19*($C$41^4*(1+4*(1-$C$41)+10*(1-$C$41)^2)+20*$C$41^3*(1-$C$41)^3*$C$41^2/(1-2*$C$41*(1-$C$41)))+T20*(1-($C$41^4*(1+4*(1-$C$41)+10*(1-$C$41)^2)+20*$C$41^3*(1-$C$41)^3*$C$41^2/(1-2*$C$41*(1-$C$41))))</f>
        <v>0.33143813667058</v>
      </c>
      <c r="V20" s="5" t="n">
        <f aca="false">V19*(1-($C$42^4*(1+4*(1-$C$42)+10*(1-$C$42)^2)+20*$C$42^3*(1-$C$42)^3*$C$42^2/(1-2*$C$42*(1-$C$42))))+U20*(1-(1-($C$42^4*(1+4*(1-$C$42)+10*(1-$C$42)^2)+20*$C$42^3*(1-$C$42)^3*$C$42^2/(1-2*$C$42*(1-$C$42)))))</f>
        <v>0.311873777371771</v>
      </c>
      <c r="W20" s="5" t="n">
        <f aca="false">V20*(1-($C$41^4*(1+4*(1-$C$41)+10*(1-$C$41)^2)+20*$C$41^3*(1-$C$41)^3*$C$41^2/(1-2*$C$41*(1-$C$41))))</f>
        <v>0.0613689680724</v>
      </c>
    </row>
    <row r="21" customFormat="false" ht="15" hidden="false" customHeight="false" outlineLevel="0" collapsed="false">
      <c r="A21" s="0" t="s">
        <v>34</v>
      </c>
      <c r="B21" s="4" t="n">
        <v>0</v>
      </c>
      <c r="H21" s="5" t="n">
        <f aca="false">H20*(1-$C$42)</f>
        <v>0.0138876753105837</v>
      </c>
      <c r="I21" s="5" t="n">
        <f aca="false">I20*(1-$C$42)+H21*(1-(1-$C$42))</f>
        <v>0.0435941105596317</v>
      </c>
      <c r="J21" s="5" t="n">
        <f aca="false">J20*$C$41+I21*(1-$C$41)</f>
        <v>0.110970403971265</v>
      </c>
      <c r="K21" s="5" t="n">
        <f aca="false">K20*$C$41+J21*(1-$C$41)</f>
        <v>0.185972186380787</v>
      </c>
      <c r="L21" s="5" t="n">
        <f aca="false">L20*(1-$C$42)+K21*(1-(1-$C$42))</f>
        <v>0.215534416816055</v>
      </c>
      <c r="M21" s="5" t="n">
        <f aca="false">M20*(1-$C$42)+L21*(1-(1-$C$42))</f>
        <v>0.230613069274604</v>
      </c>
      <c r="N21" s="5" t="n">
        <f aca="false">N20*$C$41+M21*(1-$C$41)</f>
        <v>0.233852606729318</v>
      </c>
      <c r="Q21" s="5" t="n">
        <f aca="false">Q20*(1-($C$42^4*(1+4*(1-$C$42)+10*(1-$C$42)^2)+20*$C$42^3*(1-$C$42)^3*$C$42^2/(1-2*$C$42*(1-$C$42))))</f>
        <v>0.00564386946766036</v>
      </c>
      <c r="R21" s="5" t="n">
        <f aca="false">R20*($C$41^4*(1+4*(1-$C$41)+10*(1-$C$41)^2)+20*$C$41^3*(1-$C$41)^3*$C$41^2/(1-2*$C$41*(1-$C$41)))</f>
        <v>0.0510864052230411</v>
      </c>
      <c r="S21" s="5" t="n">
        <f aca="false">S20*(1-($C$42^4*(1+4*(1-$C$42)+10*(1-$C$42)^2)+20*$C$42^3*(1-$C$42)^3*$C$42^2/(1-2*$C$42*(1-$C$42))))</f>
        <v>0.0479040272443318</v>
      </c>
      <c r="T21" s="5" t="n">
        <f aca="false">T20*($C$41^4*(1+4*(1-$C$41)+10*(1-$C$41)^2)+20*$C$41^3*(1-$C$41)^3*$C$41^2/(1-2*$C$41*(1-$C$41)))</f>
        <v>0.202420585606841</v>
      </c>
      <c r="U21" s="5" t="n">
        <f aca="false">U20*(1-($C$42^4*(1+4*(1-$C$42)+10*(1-$C$42)^2)+20*$C$42^3*(1-$C$42)^3*$C$42^2/(1-2*$C$42*(1-$C$42))))</f>
        <v>0.0734667663389057</v>
      </c>
      <c r="V21" s="5" t="n">
        <f aca="false">V20*($C$41^4*(1+4*(1-$C$41)+10*(1-$C$41)^2)+20*$C$41^3*(1-$C$41)^3*$C$41^2/(1-2*$C$41*(1-$C$41)))</f>
        <v>0.250504809299371</v>
      </c>
      <c r="W21" s="5" t="n">
        <f aca="false">W20*(1-($C$42^4*(1+4*(1-$C$42)+10*(1-$C$42)^2)+20*$C$42^3*(1-$C$42)^3*$C$42^2/(1-2*$C$42*(1-$C$42))))+V21*(1-(1-($C$42^4*(1+4*(1-$C$42)+10*(1-$C$42)^2)+20*$C$42^3*(1-$C$42)^3*$C$42^2/(1-2*$C$42*(1-$C$42)))))</f>
        <v>0.208580850900025</v>
      </c>
    </row>
    <row r="22" customFormat="false" ht="15" hidden="false" customHeight="false" outlineLevel="0" collapsed="false">
      <c r="A22" s="0" t="s">
        <v>35</v>
      </c>
      <c r="B22" s="4" t="n">
        <v>0</v>
      </c>
      <c r="G22" s="5" t="s">
        <v>22</v>
      </c>
      <c r="H22" s="5" t="n">
        <f aca="false">H21*(1-$C$42)+I21*$C$41+J21*$C$41+K21*(1-$C$42)+L21*(1-$C$42)+M21*$C$41+N21*($C$41*(1-$C$42))/(($C$41*(1-$C$42))+((1-$C$41)*$C$42))</f>
        <v>0.52206910630064</v>
      </c>
      <c r="P22" s="5" t="s">
        <v>23</v>
      </c>
      <c r="Q22" s="5" t="n">
        <f aca="false">Q21+R21+S21+T21+U21+V21*(1-($C$42^4*(1+4*(1-$C$42)+10*(1-$C$42)^2)+20*$C$42^3*(1-$C$42)^3*$C$42^2/(1-2*$C$42*(1-$C$42))))+W21*H22</f>
        <v>0.544942311152459</v>
      </c>
    </row>
    <row r="23" customFormat="false" ht="15" hidden="false" customHeight="false" outlineLevel="0" collapsed="false">
      <c r="A23" s="0" t="s">
        <v>36</v>
      </c>
      <c r="B23" s="4" t="n">
        <v>1</v>
      </c>
    </row>
    <row r="24" customFormat="false" ht="15" hidden="false" customHeight="false" outlineLevel="0" collapsed="false">
      <c r="A24" s="0" t="s">
        <v>37</v>
      </c>
      <c r="B24" s="4" t="n">
        <v>0.01</v>
      </c>
      <c r="G24" s="3" t="s">
        <v>38</v>
      </c>
      <c r="P24" s="3" t="s">
        <v>39</v>
      </c>
    </row>
    <row r="25" customFormat="false" ht="15" hidden="false" customHeight="false" outlineLevel="0" collapsed="false">
      <c r="A25" s="0" t="s">
        <v>40</v>
      </c>
      <c r="B25" s="4" t="n">
        <v>1</v>
      </c>
      <c r="H25" s="0" t="n">
        <v>1</v>
      </c>
      <c r="I25" s="5" t="n">
        <f aca="false">H25*(1-$D$41)</f>
        <v>0.355297219832647</v>
      </c>
      <c r="J25" s="5" t="n">
        <f aca="false">I25*(1-(1-$D$42))</f>
        <v>0.220742812815395</v>
      </c>
      <c r="K25" s="5" t="n">
        <f aca="false">J25*(1-(1-$D$42))</f>
        <v>0.137145428361653</v>
      </c>
      <c r="L25" s="5" t="n">
        <f aca="false">K25*(1-$D$41)</f>
        <v>0.0487273894096526</v>
      </c>
      <c r="M25" s="5" t="n">
        <f aca="false">L25*(1-$D$41)</f>
        <v>0.0173127059869524</v>
      </c>
      <c r="N25" s="5" t="n">
        <f aca="false">M25*(1-(1-$D$42))</f>
        <v>0.0107562209994378</v>
      </c>
      <c r="Q25" s="0" t="n">
        <v>1</v>
      </c>
      <c r="R25" s="5" t="n">
        <f aca="false">Q25*(1-($D$41^4*(1+4*(1-$D$41)+10*(1-$D$41)^2)+20*$D$41^3*(1-$D$41)^3*$D$41^2/(1-2*$D$41*(1-$D$41))))</f>
        <v>0.179262362509898</v>
      </c>
      <c r="S25" s="5" t="n">
        <f aca="false">R25*(1-(1-($D$42^4*(1+4*(1-$D$42)+10*(1-$D$42)^2)+20*$D$42^3*(1-$D$42)^3*$D$42^2/(1-2*$D$42*(1-$D$42)))))</f>
        <v>0.139526965032194</v>
      </c>
      <c r="T25" s="5" t="n">
        <f aca="false">S25*(1-($D$41^4*(1+4*(1-$D$41)+10*(1-$D$41)^2)+20*$D$41^3*(1-$D$41)^3*$D$41^2/(1-2*$D$41*(1-$D$41))))</f>
        <v>0.0250119333855071</v>
      </c>
      <c r="U25" s="5" t="n">
        <f aca="false">T25*(1-(1-($D$42^4*(1+4*(1-$D$42)+10*(1-$D$42)^2)+20*$D$42^3*(1-$D$42)^3*$D$42^2/(1-2*$D$42*(1-$D$42)))))</f>
        <v>0.0194677739710952</v>
      </c>
      <c r="V25" s="5" t="n">
        <f aca="false">U25*(1-($D$41^4*(1+4*(1-$D$41)+10*(1-$D$41)^2)+20*$D$41^3*(1-$D$41)^3*$D$41^2/(1-2*$D$41*(1-$D$41))))</f>
        <v>0.00348983915486722</v>
      </c>
      <c r="W25" s="5" t="n">
        <f aca="false">V25*(1-(1-($D$42^4*(1+4*(1-$D$42)+10*(1-$D$42)^2)+20*$D$42^3*(1-$D$42)^3*$D$42^2/(1-2*$D$42*(1-$D$42)))))</f>
        <v>0.00271627941811967</v>
      </c>
    </row>
    <row r="26" customFormat="false" ht="15" hidden="false" customHeight="false" outlineLevel="0" collapsed="false">
      <c r="A26" s="0" t="s">
        <v>41</v>
      </c>
      <c r="B26" s="4" t="n">
        <v>0.58</v>
      </c>
      <c r="H26" s="5" t="n">
        <f aca="false">H25*$D$41</f>
        <v>0.644702780167353</v>
      </c>
      <c r="I26" s="5" t="n">
        <f aca="false">I25*(1-$D$42)+H26*(1-(1-$D$42))</f>
        <v>0.535102165851615</v>
      </c>
      <c r="J26" s="5" t="n">
        <f aca="false">J25*(1-$D$42)+I26*(1-(1-$D$42))</f>
        <v>0.416051314966717</v>
      </c>
      <c r="K26" s="5" t="n">
        <f aca="false">K25*$D$41+J26*(1-$D$41)</f>
        <v>0.236239914467391</v>
      </c>
      <c r="L26" s="5" t="n">
        <f aca="false">L25*$D$41+K26*(1-$D$41)</f>
        <v>0.115350068246467</v>
      </c>
      <c r="M26" s="5" t="n">
        <f aca="false">M25*(1-$D$42)+L26*(1-(1-$D$42))</f>
        <v>0.0782223948282005</v>
      </c>
      <c r="N26" s="5" t="n">
        <f aca="false">N25*(1-$D$42)+M26*(1-(1-$D$42))</f>
        <v>0.0526723187045318</v>
      </c>
      <c r="Q26" s="5" t="n">
        <f aca="false">Q25*($D$41^4*(1+4*(1-$D$41)+10*(1-$D$41)^2)+20*$D$41^3*(1-$D$41)^3*$D$41^2/(1-2*$D$41*(1-$D$41)))</f>
        <v>0.820737637490102</v>
      </c>
      <c r="R26" s="5" t="n">
        <f aca="false">R25*(1-($D$42^4*(1+4*(1-$D$42)+10*(1-$D$42)^2)+20*$D$42^3*(1-$D$42)^3*$D$42^2/(1-2*$D$42*(1-$D$42))))+Q26*(1-(1-($D$42^4*(1+4*(1-$D$42)+10*(1-$D$42)^2)+20*$D$42^3*(1-$D$42)^3*$D$42^2/(1-2*$D$42*(1-$D$42)))))</f>
        <v>0.67854786231044</v>
      </c>
      <c r="S26" s="5" t="n">
        <f aca="false">S25*($D$41^4*(1+4*(1-$D$41)+10*(1-$D$41)^2)+20*$D$41^3*(1-$D$41)^3*$D$41^2/(1-2*$D$41*(1-$D$41)))+R26*(1-($D$41^4*(1+4*(1-$D$41)+10*(1-$D$41)^2)+20*$D$41^3*(1-$D$41)^3*$D$41^2/(1-2*$D$41*(1-$D$41))))</f>
        <v>0.236153124520498</v>
      </c>
      <c r="T26" s="5" t="n">
        <f aca="false">T25*(1-($D$42^4*(1+4*(1-$D$42)+10*(1-$D$42)^2)+20*$D$42^3*(1-$D$42)^3*$D$42^2/(1-2*$D$42*(1-$D$42))))+S26*(1-(1-($D$42^4*(1+4*(1-$D$42)+10*(1-$D$42)^2)+20*$D$42^3*(1-$D$42)^3*$D$42^2/(1-2*$D$42*(1-$D$42)))))</f>
        <v>0.189351447714518</v>
      </c>
      <c r="U26" s="5" t="n">
        <f aca="false">U25*($D$41^4*(1+4*(1-$D$41)+10*(1-$D$41)^2)+20*$D$41^3*(1-$D$41)^3*$D$41^2/(1-2*$D$41*(1-$D$41)))+T26*(1-($D$41^4*(1+4*(1-$D$41)+10*(1-$D$41)^2)+20*$D$41^3*(1-$D$41)^3*$D$41^2/(1-2*$D$41*(1-$D$41))))</f>
        <v>0.0499215226782019</v>
      </c>
      <c r="V26" s="5" t="n">
        <f aca="false">V25*(1-($D$42^4*(1+4*(1-$D$42)+10*(1-$D$42)^2)+20*$D$42^3*(1-$D$42)^3*$D$42^2/(1-2*$D$42*(1-$D$42))))+U26*(1-(1-($D$42^4*(1+4*(1-$D$42)+10*(1-$D$42)^2)+20*$D$42^3*(1-$D$42)^3*$D$42^2/(1-2*$D$42*(1-$D$42)))))</f>
        <v>0.0396294492360885</v>
      </c>
      <c r="W26" s="5" t="n">
        <f aca="false">V26*(1-($D$41^4*(1+4*(1-$D$41)+10*(1-$D$41)^2)+20*$D$41^3*(1-$D$41)^3*$D$41^2/(1-2*$D$41*(1-$D$41))))</f>
        <v>0.00710406869502728</v>
      </c>
    </row>
    <row r="27" customFormat="false" ht="15" hidden="false" customHeight="false" outlineLevel="0" collapsed="false">
      <c r="A27" s="0" t="s">
        <v>42</v>
      </c>
      <c r="B27" s="4" t="n">
        <v>0.46977558878405</v>
      </c>
      <c r="H27" s="5" t="n">
        <f aca="false">H26*(1-$D$42)</f>
        <v>0.24415502133299</v>
      </c>
      <c r="I27" s="5" t="n">
        <f aca="false">I26*(1-$D$42)+H27*(1-(1-$D$42))</f>
        <v>0.354339448113774</v>
      </c>
      <c r="J27" s="5" t="n">
        <f aca="false">J26*$D$41+I27*(1-$D$41)</f>
        <v>0.394125260243183</v>
      </c>
      <c r="K27" s="5" t="n">
        <f aca="false">K26*$D$41+J27*(1-$D$41)</f>
        <v>0.292336138873846</v>
      </c>
      <c r="L27" s="5" t="n">
        <f aca="false">L26*(1-$D$42)+K27*(1-(1-$D$42))</f>
        <v>0.225309845240596</v>
      </c>
      <c r="M27" s="5" t="n">
        <f aca="false">M26*(1-$D$42)+L27*(1-(1-$D$42))</f>
        <v>0.169606440977423</v>
      </c>
      <c r="N27" s="5" t="n">
        <f aca="false">N26*$D$41+M27*(1-$D$41)</f>
        <v>0.0942186872516609</v>
      </c>
      <c r="Q27" s="5" t="n">
        <f aca="false">Q26*(1-($D$42^4*(1+4*(1-$D$42)+10*(1-$D$42)^2)+20*$D$42^3*(1-$D$42)^3*$D$42^2/(1-2*$D$42*(1-$D$42))))</f>
        <v>0.181925172657366</v>
      </c>
      <c r="R27" s="5" t="n">
        <f aca="false">R26*($D$41^4*(1+4*(1-$D$41)+10*(1-$D$41)^2)+20*$D$41^3*(1-$D$41)^3*$D$41^2/(1-2*$D$41*(1-$D$41)))+Q27*(1-($D$41^4*(1+4*(1-$D$41)+10*(1-$D$41)^2)+20*$D$41^3*(1-$D$41)^3*$D$41^2/(1-2*$D$41*(1-$D$41))))</f>
        <v>0.58952210568721</v>
      </c>
      <c r="S27" s="5" t="n">
        <f aca="false">S26*(1-($D$42^4*(1+4*(1-$D$42)+10*(1-$D$42)^2)+20*$D$42^3*(1-$D$42)^3*$D$42^2/(1-2*$D$42*(1-$D$42))))+R27*(1-(1-($D$42^4*(1+4*(1-$D$42)+10*(1-$D$42)^2)+20*$D$42^3*(1-$D$42)^3*$D$42^2/(1-2*$D$42*(1-$D$42)))))</f>
        <v>0.511194135853748</v>
      </c>
      <c r="T27" s="5" t="n">
        <f aca="false">T26*($D$41^4*(1+4*(1-$D$41)+10*(1-$D$41)^2)+20*$D$41^3*(1-$D$41)^3*$D$41^2/(1-2*$D$41*(1-$D$41)))+S27*(1-($D$41^4*(1+4*(1-$D$41)+10*(1-$D$41)^2)+20*$D$41^3*(1-$D$41)^3*$D$41^2/(1-2*$D$41*(1-$D$41))))</f>
        <v>0.247045728346893</v>
      </c>
      <c r="U27" s="5" t="n">
        <f aca="false">U26*(1-($D$42^4*(1+4*(1-$D$42)+10*(1-$D$42)^2)+20*$D$42^3*(1-$D$42)^3*$D$42^2/(1-2*$D$42*(1-$D$42))))+T27*(1-(1-($D$42^4*(1+4*(1-$D$42)+10*(1-$D$42)^2)+20*$D$42^3*(1-$D$42)^3*$D$42^2/(1-2*$D$42*(1-$D$42)))))</f>
        <v>0.203351064530948</v>
      </c>
      <c r="V27" s="5" t="n">
        <f aca="false">V26*($D$41^4*(1+4*(1-$D$41)+10*(1-$D$41)^2)+20*$D$41^3*(1-$D$41)^3*$D$41^2/(1-2*$D$41*(1-$D$41)))+U27*(1-($D$41^4*(1+4*(1-$D$41)+10*(1-$D$41)^2)+20*$D$41^3*(1-$D$41)^3*$D$41^2/(1-2*$D$41*(1-$D$41))))</f>
        <v>0.0689785727877816</v>
      </c>
      <c r="W27" s="5" t="n">
        <f aca="false">V27*(1-(1-($D$42^4*(1+4*(1-$D$42)+10*(1-$D$42)^2)+20*$D$42^3*(1-$D$42)^3*$D$42^2/(1-2*$D$42*(1-$D$42)))))</f>
        <v>0.0536887430165386</v>
      </c>
    </row>
    <row r="28" customFormat="false" ht="15" hidden="false" customHeight="false" outlineLevel="0" collapsed="false">
      <c r="A28" s="0" t="s">
        <v>43</v>
      </c>
      <c r="B28" s="4" t="n">
        <v>0.555</v>
      </c>
      <c r="H28" s="5" t="n">
        <f aca="false">H27*(1-$D$42)</f>
        <v>0.0924638085578576</v>
      </c>
      <c r="I28" s="5" t="n">
        <f aca="false">I27*$D$41+H28*(1-$D$41)</f>
        <v>0.26129576143766</v>
      </c>
      <c r="J28" s="5" t="n">
        <f aca="false">J27*$D$41+I28*(1-$D$41)</f>
        <v>0.346931308605817</v>
      </c>
      <c r="K28" s="5" t="n">
        <f aca="false">K27*(1-$D$42)+J28*(1-(1-$D$42))</f>
        <v>0.326255603085938</v>
      </c>
      <c r="L28" s="5" t="n">
        <f aca="false">L27*(1-$D$42)+K28*(1-(1-$D$42))</f>
        <v>0.288026492837947</v>
      </c>
      <c r="M28" s="5" t="n">
        <f aca="false">M27*$D$41+L28*(1-$D$41)</f>
        <v>0.211680756175905</v>
      </c>
      <c r="N28" s="5" t="n">
        <f aca="false">N27*$D$41+M28*(1-$D$41)</f>
        <v>0.135952633776236</v>
      </c>
      <c r="Q28" s="5" t="n">
        <f aca="false">Q27*($D$41^4*(1+4*(1-$D$41)+10*(1-$D$41)^2)+20*$D$41^3*(1-$D$41)^3*$D$41^2/(1-2*$D$41*(1-$D$41)))</f>
        <v>0.149312836406785</v>
      </c>
      <c r="R28" s="5" t="n">
        <f aca="false">R27*(1-($D$42^4*(1+4*(1-$D$42)+10*(1-$D$42)^2)+20*$D$42^3*(1-$D$42)^3*$D$42^2/(1-2*$D$42*(1-$D$42))))+Q28*(1-(1-($D$42^4*(1+4*(1-$D$42)+10*(1-$D$42)^2)+20*$D$42^3*(1-$D$42)^3*$D$42^2/(1-2*$D$42*(1-$D$42)))))</f>
        <v>0.246889874014226</v>
      </c>
      <c r="S28" s="5" t="n">
        <f aca="false">S27*($D$41^4*(1+4*(1-$D$41)+10*(1-$D$41)^2)+20*$D$41^3*(1-$D$41)^3*$D$41^2/(1-2*$D$41*(1-$D$41)))+R28*(1-($D$41^4*(1+4*(1-$D$41)+10*(1-$D$41)^2)+20*$D$41^3*(1-$D$41)^3*$D$41^2/(1-2*$D$41*(1-$D$41))))</f>
        <v>0.463814329454961</v>
      </c>
      <c r="T28" s="5" t="n">
        <f aca="false">T27*(1-($D$42^4*(1+4*(1-$D$42)+10*(1-$D$42)^2)+20*$D$42^3*(1-$D$42)^3*$D$42^2/(1-2*$D$42*(1-$D$42))))+S28*(1-(1-($D$42^4*(1+4*(1-$D$42)+10*(1-$D$42)^2)+20*$D$42^3*(1-$D$42)^3*$D$42^2/(1-2*$D$42*(1-$D$42)))))</f>
        <v>0.415765277745965</v>
      </c>
      <c r="U28" s="5" t="n">
        <f aca="false">U27*($D$41^4*(1+4*(1-$D$41)+10*(1-$D$41)^2)+20*$D$41^3*(1-$D$41)^3*$D$41^2/(1-2*$D$41*(1-$D$41)))+T28*(1-($D$41^4*(1+4*(1-$D$41)+10*(1-$D$41)^2)+20*$D$41^3*(1-$D$41)^3*$D$41^2/(1-2*$D$41*(1-$D$41))))</f>
        <v>0.241428938222553</v>
      </c>
      <c r="V28" s="5" t="n">
        <f aca="false">V27*(1-($D$42^4*(1+4*(1-$D$42)+10*(1-$D$42)^2)+20*$D$42^3*(1-$D$42)^3*$D$42^2/(1-2*$D$42*(1-$D$42))))+U28*(1-(1-($D$42^4*(1+4*(1-$D$42)+10*(1-$D$42)^2)+20*$D$42^3*(1-$D$42)^3*$D$42^2/(1-2*$D$42*(1-$D$42)))))</f>
        <v>0.203203491900281</v>
      </c>
      <c r="W28" s="5" t="n">
        <f aca="false">V28*(1-($D$41^4*(1+4*(1-$D$41)+10*(1-$D$41)^2)+20*$D$41^3*(1-$D$41)^3*$D$41^2/(1-2*$D$41*(1-$D$41))))</f>
        <v>0.0364267380283052</v>
      </c>
    </row>
    <row r="29" customFormat="false" ht="15" hidden="false" customHeight="false" outlineLevel="0" collapsed="false">
      <c r="A29" s="0" t="s">
        <v>44</v>
      </c>
      <c r="B29" s="4" t="n">
        <v>0.46</v>
      </c>
      <c r="H29" s="5" t="n">
        <f aca="false">H28*$D$41</f>
        <v>0.0596116744421127</v>
      </c>
      <c r="I29" s="5" t="n">
        <f aca="false">I28*$D$41+H29*(1-$D$41)</f>
        <v>0.189637966043656</v>
      </c>
      <c r="J29" s="5" t="n">
        <f aca="false">J28*(1-$D$42)+I29*(1-(1-$D$42))</f>
        <v>0.249206437888671</v>
      </c>
      <c r="K29" s="5" t="n">
        <f aca="false">K28*(1-$D$42)+J29*(1-(1-$D$42))</f>
        <v>0.278385683195391</v>
      </c>
      <c r="L29" s="5" t="n">
        <f aca="false">L28*$D$41+K29*(1-$D$41)</f>
        <v>0.284601139975011</v>
      </c>
      <c r="M29" s="5" t="n">
        <f aca="false">M28*$D$41+L29*(1-$D$41)</f>
        <v>0.237589165808857</v>
      </c>
      <c r="N29" s="5" t="n">
        <f aca="false">N28*(1-$D$42)+M29*(1-(1-$D$42))</f>
        <v>0.199098452863282</v>
      </c>
      <c r="Q29" s="5" t="n">
        <f aca="false">Q28*(1-($D$42^4*(1+4*(1-$D$42)+10*(1-$D$42)^2)+20*$D$42^3*(1-$D$42)^3*$D$42^2/(1-2*$D$42*(1-$D$42))))</f>
        <v>0.0330967684464123</v>
      </c>
      <c r="R29" s="5" t="n">
        <f aca="false">R28*($D$41^4*(1+4*(1-$D$41)+10*(1-$D$41)^2)+20*$D$41^3*(1-$D$41)^3*$D$41^2/(1-2*$D$41*(1-$D$41)))+Q29*(1-($D$41^4*(1+4*(1-$D$41)+10*(1-$D$41)^2)+20*$D$41^3*(1-$D$41)^3*$D$41^2/(1-2*$D$41*(1-$D$41))))</f>
        <v>0.208564816821812</v>
      </c>
      <c r="S29" s="5" t="n">
        <f aca="false">S28*(1-($D$42^4*(1+4*(1-$D$42)+10*(1-$D$42)^2)+20*$D$42^3*(1-$D$42)^3*$D$42^2/(1-2*$D$42*(1-$D$42))))+R29*(1-(1-($D$42^4*(1+4*(1-$D$42)+10*(1-$D$42)^2)+20*$D$42^3*(1-$D$42)^3*$D$42^2/(1-2*$D$42*(1-$D$42)))))</f>
        <v>0.265143569318774</v>
      </c>
      <c r="T29" s="5" t="n">
        <f aca="false">T28*($D$41^4*(1+4*(1-$D$41)+10*(1-$D$41)^2)+20*$D$41^3*(1-$D$41)^3*$D$41^2/(1-2*$D$41*(1-$D$41)))+S29*(1-($D$41^4*(1+4*(1-$D$41)+10*(1-$D$41)^2)+20*$D$41^3*(1-$D$41)^3*$D$41^2/(1-2*$D$41*(1-$D$41))))</f>
        <v>0.38876447444803</v>
      </c>
      <c r="U29" s="5" t="n">
        <f aca="false">U28*(1-($D$42^4*(1+4*(1-$D$42)+10*(1-$D$42)^2)+20*$D$42^3*(1-$D$42)^3*$D$42^2/(1-2*$D$42*(1-$D$42))))+T29*(1-(1-($D$42^4*(1+4*(1-$D$42)+10*(1-$D$42)^2)+20*$D$42^3*(1-$D$42)^3*$D$42^2/(1-2*$D$42*(1-$D$42)))))</f>
        <v>0.356105995487135</v>
      </c>
      <c r="V29" s="5" t="n">
        <f aca="false">V28*($D$41^4*(1+4*(1-$D$41)+10*(1-$D$41)^2)+20*$D$41^3*(1-$D$41)^3*$D$41^2/(1-2*$D$41*(1-$D$41)))+U29*(1-($D$41^4*(1+4*(1-$D$41)+10*(1-$D$41)^2)+20*$D$41^3*(1-$D$41)^3*$D$41^2/(1-2*$D$41*(1-$D$41))))</f>
        <v>0.230613155926938</v>
      </c>
      <c r="W29" s="5" t="n">
        <f aca="false">V29*(1-(1-($D$42^4*(1+4*(1-$D$42)+10*(1-$D$42)^2)+20*$D$42^3*(1-$D$42)^3*$D$42^2/(1-2*$D$42*(1-$D$42)))))</f>
        <v>0.179495312303526</v>
      </c>
    </row>
    <row r="30" customFormat="false" ht="15" hidden="false" customHeight="false" outlineLevel="0" collapsed="false">
      <c r="A30" s="0" t="s">
        <v>45</v>
      </c>
      <c r="B30" s="4" t="n">
        <v>0.7</v>
      </c>
      <c r="H30" s="5" t="n">
        <f aca="false">H29*$D$41</f>
        <v>0.0384318122432612</v>
      </c>
      <c r="I30" s="5" t="n">
        <f aca="false">I29*(1-$D$42)+H30*(1-(1-$D$42))</f>
        <v>0.0956950083120475</v>
      </c>
      <c r="J30" s="5" t="n">
        <f aca="false">J29*(1-$D$42)+I30*(1-(1-$D$42))</f>
        <v>0.153831234052239</v>
      </c>
      <c r="K30" s="5" t="n">
        <f aca="false">K29*$D$41+J30*(1-$D$41)</f>
        <v>0.234131833697042</v>
      </c>
      <c r="L30" s="5" t="n">
        <f aca="false">L29*$D$41+K30*(1-$D$41)</f>
        <v>0.266669535767566</v>
      </c>
      <c r="M30" s="5" t="n">
        <f aca="false">M29*(1-$D$42)+L30*(1-(1-$D$42))</f>
        <v>0.25565652548429</v>
      </c>
      <c r="N30" s="5" t="n">
        <f aca="false">N29*(1-$D$42)+M30*(1-(1-$D$42))</f>
        <v>0.234237450133397</v>
      </c>
      <c r="Q30" s="5" t="n">
        <f aca="false">Q29*($D$41^4*(1+4*(1-$D$41)+10*(1-$D$41)^2)+20*$D$41^3*(1-$D$41)^3*$D$41^2/(1-2*$D$41*(1-$D$41)))</f>
        <v>0.0271637635432654</v>
      </c>
      <c r="R30" s="5" t="n">
        <f aca="false">R29*(1-($D$42^4*(1+4*(1-$D$42)+10*(1-$D$42)^2)+20*$D$42^3*(1-$D$42)^3*$D$42^2/(1-2*$D$42*(1-$D$42))))+Q30*(1-(1-($D$42^4*(1+4*(1-$D$42)+10*(1-$D$42)^2)+20*$D$42^3*(1-$D$42)^3*$D$42^2/(1-2*$D$42*(1-$D$42)))))</f>
        <v>0.06737322443609</v>
      </c>
      <c r="S30" s="5" t="n">
        <f aca="false">S29*($D$41^4*(1+4*(1-$D$41)+10*(1-$D$41)^2)+20*$D$41^3*(1-$D$41)^3*$D$41^2/(1-2*$D$41*(1-$D$41)))+R30*(1-($D$41^4*(1+4*(1-$D$41)+10*(1-$D$41)^2)+20*$D$41^3*(1-$D$41)^3*$D$41^2/(1-2*$D$41*(1-$D$41))))</f>
        <v>0.229690790060707</v>
      </c>
      <c r="T30" s="5" t="n">
        <f aca="false">T29*(1-($D$42^4*(1+4*(1-$D$42)+10*(1-$D$42)^2)+20*$D$42^3*(1-$D$42)^3*$D$42^2/(1-2*$D$42*(1-$D$42))))+S30*(1-(1-($D$42^4*(1+4*(1-$D$42)+10*(1-$D$42)^2)+20*$D$42^3*(1-$D$42)^3*$D$42^2/(1-2*$D$42*(1-$D$42)))))</f>
        <v>0.264951153635487</v>
      </c>
      <c r="U30" s="5" t="n">
        <f aca="false">U29*($D$41^4*(1+4*(1-$D$41)+10*(1-$D$41)^2)+20*$D$41^3*(1-$D$41)^3*$D$41^2/(1-2*$D$41*(1-$D$41)))+T30*(1-($D$41^4*(1+4*(1-$D$41)+10*(1-$D$41)^2)+20*$D$41^3*(1-$D$41)^3*$D$41^2/(1-2*$D$41*(1-$D$41))))</f>
        <v>0.339765363182592</v>
      </c>
      <c r="V30" s="5" t="n">
        <f aca="false">V29*(1-($D$42^4*(1+4*(1-$D$42)+10*(1-$D$42)^2)+20*$D$42^3*(1-$D$42)^3*$D$42^2/(1-2*$D$42*(1-$D$42))))+U30*(1-(1-($D$42^4*(1+4*(1-$D$42)+10*(1-$D$42)^2)+20*$D$42^3*(1-$D$42)^3*$D$42^2/(1-2*$D$42*(1-$D$42)))))</f>
        <v>0.315570622690803</v>
      </c>
      <c r="W30" s="5" t="n">
        <f aca="false">V30*(1-($D$41^4*(1+4*(1-$D$41)+10*(1-$D$41)^2)+20*$D$41^3*(1-$D$41)^3*$D$41^2/(1-2*$D$41*(1-$D$41))))</f>
        <v>0.0565699353622729</v>
      </c>
    </row>
    <row r="31" customFormat="false" ht="15" hidden="false" customHeight="false" outlineLevel="0" collapsed="false">
      <c r="A31" s="0" t="s">
        <v>46</v>
      </c>
      <c r="B31" s="4" t="n">
        <v>0.15</v>
      </c>
      <c r="H31" s="5" t="n">
        <f aca="false">H30*(1-$D$42)</f>
        <v>0.0145544896451093</v>
      </c>
      <c r="I31" s="5" t="n">
        <f aca="false">I30*(1-$D$42)+H31*(1-(1-$D$42))</f>
        <v>0.0452831690855076</v>
      </c>
      <c r="J31" s="5" t="n">
        <f aca="false">J30*$D$41+I31*(1-$D$41)</f>
        <v>0.115264408351346</v>
      </c>
      <c r="K31" s="5" t="n">
        <f aca="false">K30*$D$41+J31*(1-$D$41)</f>
        <v>0.191898567943052</v>
      </c>
      <c r="L31" s="5" t="n">
        <f aca="false">L30*(1-$D$42)+K31*(1-(1-$D$42))</f>
        <v>0.220215038425068</v>
      </c>
      <c r="M31" s="5" t="n">
        <f aca="false">M30*(1-$D$42)+L31*(1-(1-$D$42))</f>
        <v>0.233637063729148</v>
      </c>
      <c r="N31" s="5" t="n">
        <f aca="false">N30*$D$41+M31*(1-$D$41)</f>
        <v>0.234024134513142</v>
      </c>
      <c r="Q31" s="5" t="n">
        <f aca="false">Q30*(1-($D$42^4*(1+4*(1-$D$42)+10*(1-$D$42)^2)+20*$D$42^3*(1-$D$42)^3*$D$42^2/(1-2*$D$42*(1-$D$42))))</f>
        <v>0.0060211353140144</v>
      </c>
      <c r="R31" s="5" t="n">
        <f aca="false">R30*($D$41^4*(1+4*(1-$D$41)+10*(1-$D$41)^2)+20*$D$41^3*(1-$D$41)^3*$D$41^2/(1-2*$D$41*(1-$D$41)))</f>
        <v>0.0552957410537669</v>
      </c>
      <c r="S31" s="5" t="n">
        <f aca="false">S30*(1-($D$42^4*(1+4*(1-$D$42)+10*(1-$D$42)^2)+20*$D$42^3*(1-$D$42)^3*$D$42^2/(1-2*$D$42*(1-$D$42))))</f>
        <v>0.0509133914796307</v>
      </c>
      <c r="T31" s="5" t="n">
        <f aca="false">T30*($D$41^4*(1+4*(1-$D$41)+10*(1-$D$41)^2)+20*$D$41^3*(1-$D$41)^3*$D$41^2/(1-2*$D$41*(1-$D$41)))</f>
        <v>0.217455383885067</v>
      </c>
      <c r="U31" s="5" t="n">
        <f aca="false">U30*(1-($D$42^4*(1+4*(1-$D$42)+10*(1-$D$42)^2)+20*$D$42^3*(1-$D$42)^3*$D$42^2/(1-2*$D$42*(1-$D$42))))</f>
        <v>0.0753125841152022</v>
      </c>
      <c r="V31" s="5" t="n">
        <f aca="false">V30*($D$41^4*(1+4*(1-$D$41)+10*(1-$D$41)^2)+20*$D$41^3*(1-$D$41)^3*$D$41^2/(1-2*$D$41*(1-$D$41)))</f>
        <v>0.25900068732853</v>
      </c>
      <c r="W31" s="5" t="n">
        <f aca="false">W30*(1-($D$42^4*(1+4*(1-$D$42)+10*(1-$D$42)^2)+20*$D$42^3*(1-$D$42)^3*$D$42^2/(1-2*$D$42*(1-$D$42))))+V31*(1-(1-($D$42^4*(1+4*(1-$D$42)+10*(1-$D$42)^2)+20*$D$42^3*(1-$D$42)^3*$D$42^2/(1-2*$D$42*(1-$D$42)))))</f>
        <v>0.214129771434819</v>
      </c>
    </row>
    <row r="32" customFormat="false" ht="15" hidden="false" customHeight="false" outlineLevel="0" collapsed="false">
      <c r="A32" s="0" t="s">
        <v>47</v>
      </c>
      <c r="B32" s="4" t="n">
        <v>0.15</v>
      </c>
      <c r="G32" s="5" t="s">
        <v>22</v>
      </c>
      <c r="H32" s="5" t="n">
        <f aca="false">H31*(1-$D$42)+I31*$D$41+J31*$D$41+K31*(1-$D$42)+L31*(1-$D$42)+M31*$D$41+N31*($D$41*(1-$D$42))/(($D$41*(1-$D$42))+((1-$D$41)*$D$42))</f>
        <v>0.538619948077904</v>
      </c>
      <c r="P32" s="5" t="s">
        <v>23</v>
      </c>
      <c r="Q32" s="5" t="n">
        <f aca="false">Q31+R31+S31+T31+U31+V31*(1-($D$42^4*(1+4*(1-$D$42)+10*(1-$D$42)^2)+20*$D$42^3*(1-$D$42)^3*$D$42^2/(1-2*$D$42*(1-$D$42))))+W31*H32</f>
        <v>0.577743042238453</v>
      </c>
    </row>
    <row r="34" customFormat="false" ht="15" hidden="false" customHeight="false" outlineLevel="0" collapsed="false">
      <c r="A34" s="3" t="s">
        <v>48</v>
      </c>
      <c r="G34" s="3" t="s">
        <v>49</v>
      </c>
      <c r="P34" s="3" t="s">
        <v>50</v>
      </c>
    </row>
    <row r="35" customFormat="false" ht="15" hidden="false" customHeight="false" outlineLevel="0" collapsed="false">
      <c r="A35" s="0" t="s">
        <v>51</v>
      </c>
      <c r="B35" s="0" t="n">
        <f aca="false">$B$4+$B$6+$B$11*($B$7-$B$10)</f>
        <v>0.634702780167353</v>
      </c>
      <c r="H35" s="0" t="n">
        <v>1</v>
      </c>
      <c r="I35" s="0" t="n">
        <f aca="false">H35*(1-$B$43)</f>
        <v>0.365297219832647</v>
      </c>
      <c r="J35" s="0" t="n">
        <f aca="false">I35*(1-(1-$B$44))</f>
        <v>0.226955718531893</v>
      </c>
      <c r="K35" s="0" t="n">
        <f aca="false">J35*(1-(1-$B$44))</f>
        <v>0.141005448105861</v>
      </c>
      <c r="L35" s="0" t="n">
        <f aca="false">K35*(1-$B$43)</f>
        <v>0.0515088981743278</v>
      </c>
      <c r="M35" s="0" t="n">
        <f aca="false">L35*(1-$B$43)</f>
        <v>0.0188160572997249</v>
      </c>
      <c r="N35" s="0" t="n">
        <f aca="false">M35*(1-(1-$B$44))</f>
        <v>0.0116902389959407</v>
      </c>
      <c r="Q35" s="0" t="n">
        <v>1</v>
      </c>
      <c r="R35" s="0" t="n">
        <f aca="false">Q35*(1-($B$43^4*(1+4*(1-$B$43)+10*(1-$B$43)^2)+20*$B$43^3*(1-$B$43)^3*$B$43^2/(1-2*$B$43*(1-$B$43))))</f>
        <v>0.196775017731756</v>
      </c>
      <c r="S35" s="0" t="n">
        <f aca="false">R35*(1-(1-($B$44^4*(1+4*(1-$B$44)+10*(1-$B$44)^2)+20*$B$44^3*(1-$B$44)^3*$B$44^2/(1-2*$B$44*(1-$B$44)))))</f>
        <v>0.153157755112997</v>
      </c>
      <c r="T35" s="0" t="n">
        <f aca="false">S35*(1-($B$43^4*(1+4*(1-$B$43)+10*(1-$B$43)^2)+20*$B$43^3*(1-$B$43)^3*$B$43^2/(1-2*$B$43*(1-$B$43))))</f>
        <v>0.0301376199781159</v>
      </c>
      <c r="U35" s="0" t="n">
        <f aca="false">T35*(1-(1-($B$44^4*(1+4*(1-$B$44)+10*(1-$B$44)^2)+20*$B$44^3*(1-$B$44)^3*$B$44^2/(1-2*$B$44*(1-$B$44)))))</f>
        <v>0.0234572979512527</v>
      </c>
      <c r="V35" s="0" t="n">
        <f aca="false">U35*(1-($B$43^4*(1+4*(1-$B$43)+10*(1-$B$43)^2)+20*$B$43^3*(1-$B$43)^3*$B$43^2/(1-2*$B$43*(1-$B$43))))</f>
        <v>0.00461581022029683</v>
      </c>
      <c r="W35" s="0" t="n">
        <f aca="false">V35*(1-(1-($B$44^4*(1+4*(1-$B$44)+10*(1-$B$44)^2)+20*$B$44^3*(1-$B$44)^3*$B$44^2/(1-2*$B$44*(1-$B$44)))))</f>
        <v>0.00359266709523055</v>
      </c>
    </row>
    <row r="36" customFormat="false" ht="15" hidden="false" customHeight="false" outlineLevel="0" collapsed="false">
      <c r="A36" s="0" t="s">
        <v>52</v>
      </c>
      <c r="B36" s="0" t="n">
        <f aca="false">$B$5+$B$6+$B$11*($B$9-$B$8)</f>
        <v>0.621290571649758</v>
      </c>
      <c r="H36" s="0" t="n">
        <f aca="false">H35*$B$43</f>
        <v>0.634702780167353</v>
      </c>
      <c r="I36" s="0" t="n">
        <f aca="false">I35*(1-$B$44)+H36*(1-(1-$B$44))</f>
        <v>0.53267635441862</v>
      </c>
      <c r="J36" s="0" t="n">
        <f aca="false">J35*(1-$B$44)+I36*(1-(1-$B$44))</f>
        <v>0.416897067167085</v>
      </c>
      <c r="K36" s="0" t="n">
        <f aca="false">K35*$B$43+J36*(1-$B$43)</f>
        <v>0.241787889524054</v>
      </c>
      <c r="L36" s="0" t="n">
        <f aca="false">L35*$B$43+K36*(1-$B$43)</f>
        <v>0.121017284706943</v>
      </c>
      <c r="M36" s="0" t="n">
        <f aca="false">M35*(1-$B$44)+L36*(1-(1-$B$44))</f>
        <v>0.0823127162988625</v>
      </c>
      <c r="N36" s="0" t="n">
        <f aca="false">N35*(1-$B$44)+M36*(1-(1-$B$44))</f>
        <v>0.055567318290795</v>
      </c>
      <c r="Q36" s="0" t="n">
        <f aca="false">Q35*($B$43^4*(1+4*(1-$B$43)+10*(1-$B$43)^2)+20*$B$43^3*(1-$B$43)^3*$B$43^2/(1-2*$B$43*(1-$B$43)))</f>
        <v>0.803224982268244</v>
      </c>
      <c r="R36" s="0" t="n">
        <f aca="false">R35*(1-($B$44^4*(1+4*(1-$B$44)+10*(1-$B$44)^2)+20*$B$44^3*(1-$B$44)^3*$B$44^2/(1-2*$B$44*(1-$B$44))))+Q36*(1-(1-($B$44^4*(1+4*(1-$B$44)+10*(1-$B$44)^2)+20*$B$44^3*(1-$B$44)^3*$B$44^2/(1-2*$B$44*(1-$B$44)))))</f>
        <v>0.668798937370694</v>
      </c>
      <c r="S36" s="0" t="n">
        <f aca="false">S35*($B$43^4*(1+4*(1-$B$43)+10*(1-$B$43)^2)+20*$B$43^3*(1-$B$43)^3*$B$43^2/(1-2*$B$43*(1-$B$43)))+R36*(1-($B$43^4*(1+4*(1-$B$43)+10*(1-$B$43)^2)+20*$B$43^3*(1-$B$43)^3*$B$43^2/(1-2*$B$43*(1-$B$43))))</f>
        <v>0.254623057894979</v>
      </c>
      <c r="T36" s="0" t="n">
        <f aca="false">T35*(1-($B$44^4*(1+4*(1-$B$44)+10*(1-$B$44)^2)+20*$B$44^3*(1-$B$44)^3*$B$44^2/(1-2*$B$44*(1-$B$44))))+S36*(1-(1-($B$44^4*(1+4*(1-$B$44)+10*(1-$B$44)^2)+20*$B$44^3*(1-$B$44)^3*$B$44^2/(1-2*$B$44*(1-$B$44)))))</f>
        <v>0.204863487739306</v>
      </c>
      <c r="U36" s="0" t="n">
        <f aca="false">U35*($B$43^4*(1+4*(1-$B$43)+10*(1-$B$43)^2)+20*$B$43^3*(1-$B$43)^3*$B$43^2/(1-2*$B$43*(1-$B$43)))+T36*(1-($B$43^4*(1+4*(1-$B$43)+10*(1-$B$43)^2)+20*$B$43^3*(1-$B$43)^3*$B$43^2/(1-2*$B$43*(1-$B$43))))</f>
        <v>0.0591535041634472</v>
      </c>
      <c r="V36" s="0" t="n">
        <f aca="false">V35*(1-($B$44^4*(1+4*(1-$B$44)+10*(1-$B$44)^2)+20*$B$44^3*(1-$B$44)^3*$B$44^2/(1-2*$B$44*(1-$B$44))))+U36*(1-(1-($B$44^4*(1+4*(1-$B$44)+10*(1-$B$44)^2)+20*$B$44^3*(1-$B$44)^3*$B$44^2/(1-2*$B$44*(1-$B$44)))))</f>
        <v>0.0470646478301566</v>
      </c>
      <c r="W36" s="0" t="n">
        <f aca="false">V36*(1-($B$43^4*(1+4*(1-$B$43)+10*(1-$B$43)^2)+20*$B$43^3*(1-$B$43)^3*$B$43^2/(1-2*$B$43*(1-$B$43))))</f>
        <v>0.00926114691131791</v>
      </c>
    </row>
    <row r="37" customFormat="false" ht="15" hidden="false" customHeight="false" outlineLevel="0" collapsed="false">
      <c r="A37" s="0" t="s">
        <v>53</v>
      </c>
      <c r="B37" s="0" t="n">
        <f aca="false">(1-$B$12)*$B$35+$B$12*($B$13+$B$6)*($B$12&gt;0)+$B$12*$B$35*($B$12=0)</f>
        <v>0.634702780167353</v>
      </c>
      <c r="H37" s="0" t="n">
        <f aca="false">H36*(1-$B$44)</f>
        <v>0.240367927049487</v>
      </c>
      <c r="I37" s="0" t="n">
        <f aca="false">I36*(1-$B$44)+H37*(1-(1-$B$44))</f>
        <v>0.35106788448041</v>
      </c>
      <c r="J37" s="0" t="n">
        <f aca="false">J36*$B$43+I37*(1-$B$43)</f>
        <v>0.392849849747787</v>
      </c>
      <c r="K37" s="0" t="n">
        <f aca="false">K36*$B$43+J37*(1-$B$43)</f>
        <v>0.296970403616254</v>
      </c>
      <c r="L37" s="0" t="n">
        <f aca="false">L36*(1-$B$44)+K37*(1-(1-$B$44))</f>
        <v>0.230335298537667</v>
      </c>
      <c r="M37" s="0" t="n">
        <f aca="false">M36*(1-$B$44)+L37*(1-(1-$B$44))</f>
        <v>0.174277751035082</v>
      </c>
      <c r="N37" s="0" t="n">
        <f aca="false">N36*$B$43+M37*(1-$B$43)</f>
        <v>0.0989319093374137</v>
      </c>
      <c r="Q37" s="0" t="n">
        <f aca="false">Q36*(1-($B$44^4*(1+4*(1-$B$44)+10*(1-$B$44)^2)+20*$B$44^3*(1-$B$44)^3*$B$44^2/(1-2*$B$44*(1-$B$44))))</f>
        <v>0.17804330751631</v>
      </c>
      <c r="R37" s="0" t="n">
        <f aca="false">R36*($B$43^4*(1+4*(1-$B$43)+10*(1-$B$43)^2)+20*$B$43^3*(1-$B$43)^3*$B$43^2/(1-2*$B$43*(1-$B$43)))+Q37*(1-($B$43^4*(1+4*(1-$B$43)+10*(1-$B$43)^2)+20*$B$43^3*(1-$B$43)^3*$B$43^2/(1-2*$B$43*(1-$B$43))))</f>
        <v>0.572230489604138</v>
      </c>
      <c r="S37" s="0" t="n">
        <f aca="false">S36*(1-($B$44^4*(1+4*(1-$B$44)+10*(1-$B$44)^2)+20*$B$44^3*(1-$B$44)^3*$B$44^2/(1-2*$B$44*(1-$B$44))))+R37*(1-(1-($B$44^4*(1+4*(1-$B$44)+10*(1-$B$44)^2)+20*$B$44^3*(1-$B$44)^3*$B$44^2/(1-2*$B$44*(1-$B$44)))))</f>
        <v>0.501829445212351</v>
      </c>
      <c r="T37" s="0" t="n">
        <f aca="false">T36*($B$43^4*(1+4*(1-$B$43)+10*(1-$B$43)^2)+20*$B$43^3*(1-$B$43)^3*$B$43^2/(1-2*$B$43*(1-$B$43)))+S37*(1-($B$43^4*(1+4*(1-$B$43)+10*(1-$B$43)^2)+20*$B$43^3*(1-$B$43)^3*$B$43^2/(1-2*$B$43*(1-$B$43))))</f>
        <v>0.263298969286793</v>
      </c>
      <c r="U37" s="0" t="n">
        <f aca="false">U36*(1-($B$44^4*(1+4*(1-$B$44)+10*(1-$B$44)^2)+20*$B$44^3*(1-$B$44)^3*$B$44^2/(1-2*$B$44*(1-$B$44))))+T37*(1-(1-($B$44^4*(1+4*(1-$B$44)+10*(1-$B$44)^2)+20*$B$44^3*(1-$B$44)^3*$B$44^2/(1-2*$B$44*(1-$B$44)))))</f>
        <v>0.218047969097063</v>
      </c>
      <c r="V37" s="0" t="n">
        <f aca="false">V36*($B$43^4*(1+4*(1-$B$43)+10*(1-$B$43)^2)+20*$B$43^3*(1-$B$43)^3*$B$43^2/(1-2*$B$43*(1-$B$43)))+U37*(1-($B$43^4*(1+4*(1-$B$43)+10*(1-$B$43)^2)+20*$B$43^3*(1-$B$43)^3*$B$43^2/(1-2*$B$43*(1-$B$43))))</f>
        <v>0.0807098939042866</v>
      </c>
      <c r="W37" s="0" t="n">
        <f aca="false">V37*(1-(1-($B$44^4*(1+4*(1-$B$44)+10*(1-$B$44)^2)+20*$B$44^3*(1-$B$44)^3*$B$44^2/(1-2*$B$44*(1-$B$44)))))</f>
        <v>0.0628196928059215</v>
      </c>
    </row>
    <row r="38" customFormat="false" ht="15" hidden="false" customHeight="false" outlineLevel="0" collapsed="false">
      <c r="A38" s="0" t="s">
        <v>54</v>
      </c>
      <c r="B38" s="0" t="n">
        <f aca="false">(1-$B$14)*$B$36+$B$14*($B$15+$B$6)*($B$14&gt;0)+$B$14*$B$36*($B$14=0)</f>
        <v>0.621290571649758</v>
      </c>
      <c r="H38" s="0" t="n">
        <f aca="false">H37*(1-$B$44)</f>
        <v>0.0910296002466439</v>
      </c>
      <c r="I38" s="0" t="n">
        <f aca="false">I37*$B$43+H38*(1-$B$43)</f>
        <v>0.256076622199763</v>
      </c>
      <c r="J38" s="0" t="n">
        <f aca="false">J37*$B$43+I38*(1-$B$43)</f>
        <v>0.342886969976956</v>
      </c>
      <c r="K38" s="0" t="n">
        <f aca="false">K37*(1-$B$44)+J38*(1-(1-$B$44))</f>
        <v>0.325497933378689</v>
      </c>
      <c r="L38" s="0" t="n">
        <f aca="false">L37*(1-$B$44)+K38*(1-(1-$B$44))</f>
        <v>0.289458946337742</v>
      </c>
      <c r="M38" s="0" t="n">
        <f aca="false">M37*$B$43+L38*(1-$B$43)</f>
        <v>0.216353121456145</v>
      </c>
      <c r="N38" s="0" t="n">
        <f aca="false">N37*$B$43+M38*(1-$B$43)</f>
        <v>0.141825551673766</v>
      </c>
      <c r="Q38" s="0" t="n">
        <f aca="false">Q37*($B$43^4*(1+4*(1-$B$43)+10*(1-$B$43)^2)+20*$B$43^3*(1-$B$43)^3*$B$43^2/(1-2*$B$43*(1-$B$43)))</f>
        <v>0.143008832522767</v>
      </c>
      <c r="R38" s="0" t="n">
        <f aca="false">R37*(1-($B$44^4*(1+4*(1-$B$44)+10*(1-$B$44)^2)+20*$B$44^3*(1-$B$44)^3*$B$44^2/(1-2*$B$44*(1-$B$44))))+Q38*(1-(1-($B$44^4*(1+4*(1-$B$44)+10*(1-$B$44)^2)+20*$B$44^3*(1-$B$44)^3*$B$44^2/(1-2*$B$44*(1-$B$44)))))</f>
        <v>0.238150349745743</v>
      </c>
      <c r="S38" s="0" t="n">
        <f aca="false">S37*($B$43^4*(1+4*(1-$B$43)+10*(1-$B$43)^2)+20*$B$43^3*(1-$B$43)^3*$B$43^2/(1-2*$B$43*(1-$B$43)))+R38*(1-($B$43^4*(1+4*(1-$B$43)+10*(1-$B$43)^2)+20*$B$43^3*(1-$B$43)^3*$B$43^2/(1-2*$B$43*(1-$B$43))))</f>
        <v>0.449943986526416</v>
      </c>
      <c r="T38" s="0" t="n">
        <f aca="false">T37*(1-($B$44^4*(1+4*(1-$B$44)+10*(1-$B$44)^2)+20*$B$44^3*(1-$B$44)^3*$B$44^2/(1-2*$B$44*(1-$B$44))))+S38*(1-(1-($B$44^4*(1+4*(1-$B$44)+10*(1-$B$44)^2)+20*$B$44^3*(1-$B$44)^3*$B$44^2/(1-2*$B$44*(1-$B$44)))))</f>
        <v>0.408572145592211</v>
      </c>
      <c r="U38" s="0" t="n">
        <f aca="false">U37*($B$43^4*(1+4*(1-$B$43)+10*(1-$B$43)^2)+20*$B$43^3*(1-$B$43)^3*$B$43^2/(1-2*$B$43*(1-$B$43)))+T38*(1-($B$43^4*(1+4*(1-$B$43)+10*(1-$B$43)^2)+20*$B$43^3*(1-$B$43)^3*$B$43^2/(1-2*$B$43*(1-$B$43))))</f>
        <v>0.255538367305224</v>
      </c>
      <c r="V38" s="0" t="n">
        <f aca="false">V37*(1-($B$44^4*(1+4*(1-$B$44)+10*(1-$B$44)^2)+20*$B$44^3*(1-$B$44)^3*$B$44^2/(1-2*$B$44*(1-$B$44))))+U38*(1-(1-($B$44^4*(1+4*(1-$B$44)+10*(1-$B$44)^2)+20*$B$44^3*(1-$B$44)^3*$B$44^2/(1-2*$B$44*(1-$B$44)))))</f>
        <v>0.216785788215328</v>
      </c>
      <c r="W38" s="0" t="n">
        <f aca="false">V38*(1-($B$43^4*(1+4*(1-$B$43)+10*(1-$B$43)^2)+20*$B$43^3*(1-$B$43)^3*$B$43^2/(1-2*$B$43*(1-$B$43))))</f>
        <v>0.042658027320064</v>
      </c>
    </row>
    <row r="39" customFormat="false" ht="15" hidden="false" customHeight="false" outlineLevel="0" collapsed="false">
      <c r="H39" s="0" t="n">
        <f aca="false">H38*$B$43</f>
        <v>0.0577767403540676</v>
      </c>
      <c r="I39" s="0" t="n">
        <f aca="false">I38*$B$43+H39*(1-$B$43)</f>
        <v>0.183638226668388</v>
      </c>
      <c r="J39" s="0" t="n">
        <f aca="false">J38*(1-$B$44)+I39*(1-(1-$B$44))</f>
        <v>0.24394722721227</v>
      </c>
      <c r="K39" s="0" t="n">
        <f aca="false">K38*(1-$B$44)+J39*(1-(1-$B$44))</f>
        <v>0.274831248526113</v>
      </c>
      <c r="L39" s="0" t="n">
        <f aca="false">L38*$B$43+K39*(1-$B$43)</f>
        <v>0.284115488994602</v>
      </c>
      <c r="M39" s="0" t="n">
        <f aca="false">M38*$B$43+L39*(1-$B$43)</f>
        <v>0.241106525927222</v>
      </c>
      <c r="N39" s="0" t="n">
        <f aca="false">N38*(1-$B$44)+M39*(1-(1-$B$44))</f>
        <v>0.20350788492164</v>
      </c>
      <c r="Q39" s="0" t="n">
        <f aca="false">Q38*(1-($B$44^4*(1+4*(1-$B$44)+10*(1-$B$44)^2)+20*$B$44^3*(1-$B$44)^3*$B$44^2/(1-2*$B$44*(1-$B$44))))</f>
        <v>0.0316994193513472</v>
      </c>
      <c r="R39" s="0" t="n">
        <f aca="false">R38*($B$43^4*(1+4*(1-$B$43)+10*(1-$B$43)^2)+20*$B$43^3*(1-$B$43)^3*$B$43^2/(1-2*$B$43*(1-$B$43)))+Q39*(1-($B$43^4*(1+4*(1-$B$43)+10*(1-$B$43)^2)+20*$B$43^3*(1-$B$43)^3*$B$43^2/(1-2*$B$43*(1-$B$43))))</f>
        <v>0.197525964256648</v>
      </c>
      <c r="S39" s="0" t="n">
        <f aca="false">S38*(1-($B$44^4*(1+4*(1-$B$44)+10*(1-$B$44)^2)+20*$B$44^3*(1-$B$44)^3*$B$44^2/(1-2*$B$44*(1-$B$44))))+R39*(1-(1-($B$44^4*(1+4*(1-$B$44)+10*(1-$B$44)^2)+20*$B$44^3*(1-$B$44)^3*$B$44^2/(1-2*$B$44*(1-$B$44)))))</f>
        <v>0.253477086985331</v>
      </c>
      <c r="T39" s="0" t="n">
        <f aca="false">T38*($B$43^4*(1+4*(1-$B$43)+10*(1-$B$43)^2)+20*$B$43^3*(1-$B$43)^3*$B$43^2/(1-2*$B$43*(1-$B$43)))+S39*(1-($B$43^4*(1+4*(1-$B$43)+10*(1-$B$43)^2)+20*$B$43^3*(1-$B$43)^3*$B$43^2/(1-2*$B$43*(1-$B$43))))</f>
        <v>0.378053312684735</v>
      </c>
      <c r="U39" s="0" t="n">
        <f aca="false">U38*(1-($B$44^4*(1+4*(1-$B$44)+10*(1-$B$44)^2)+20*$B$44^3*(1-$B$44)^3*$B$44^2/(1-2*$B$44*(1-$B$44))))+T39*(1-(1-($B$44^4*(1+4*(1-$B$44)+10*(1-$B$44)^2)+20*$B$44^3*(1-$B$44)^3*$B$44^2/(1-2*$B$44*(1-$B$44)))))</f>
        <v>0.350896580041845</v>
      </c>
      <c r="V39" s="0" t="n">
        <f aca="false">V38*($B$43^4*(1+4*(1-$B$43)+10*(1-$B$43)^2)+20*$B$43^3*(1-$B$43)^3*$B$43^2/(1-2*$B$43*(1-$B$43)))+U39*(1-($B$43^4*(1+4*(1-$B$43)+10*(1-$B$43)^2)+20*$B$43^3*(1-$B$43)^3*$B$43^2/(1-2*$B$43*(1-$B$43))))</f>
        <v>0.243175441655011</v>
      </c>
      <c r="W39" s="0" t="n">
        <f aca="false">V39*(1-(1-($B$44^4*(1+4*(1-$B$44)+10*(1-$B$44)^2)+20*$B$44^3*(1-$B$44)^3*$B$44^2/(1-2*$B$44*(1-$B$44)))))</f>
        <v>0.189273034614914</v>
      </c>
    </row>
    <row r="40" customFormat="false" ht="15" hidden="false" customHeight="false" outlineLevel="0" collapsed="false">
      <c r="A40" s="3" t="s">
        <v>55</v>
      </c>
      <c r="B40" s="5" t="s">
        <v>56</v>
      </c>
      <c r="C40" s="5" t="s">
        <v>57</v>
      </c>
      <c r="D40" s="5" t="s">
        <v>58</v>
      </c>
      <c r="H40" s="5" t="n">
        <f aca="false">H39*$B$43</f>
        <v>0.036671057731734</v>
      </c>
      <c r="I40" s="5" t="n">
        <f aca="false">I39*(1-$B$44)+H40*(1-(1-$B$44))</f>
        <v>0.0923289102659877</v>
      </c>
      <c r="J40" s="5" t="n">
        <f aca="false">J39*(1-$B$44)+I40*(1-(1-$B$44))</f>
        <v>0.14974819640414</v>
      </c>
      <c r="K40" s="5" t="n">
        <f aca="false">K39*$B$43+J40*(1-$B$43)</f>
        <v>0.229138757337774</v>
      </c>
      <c r="L40" s="5" t="n">
        <f aca="false">L39*$B$43+K40*(1-$B$43)</f>
        <v>0.264032641764877</v>
      </c>
      <c r="M40" s="5" t="n">
        <f aca="false">M39*(1-$B$44)+L40*(1-(1-$B$44))</f>
        <v>0.255350305541707</v>
      </c>
      <c r="N40" s="5" t="n">
        <f aca="false">N39*(1-$B$44)+M40*(1-(1-$B$44))</f>
        <v>0.235717092064389</v>
      </c>
      <c r="Q40" s="5" t="n">
        <f aca="false">Q39*($B$43^4*(1+4*(1-$B$43)+10*(1-$B$43)^2)+20*$B$43^3*(1-$B$43)^3*$B$43^2/(1-2*$B$43*(1-$B$43)))</f>
        <v>0.0254617655463995</v>
      </c>
      <c r="R40" s="5" t="n">
        <f aca="false">R39*(1-($B$44^4*(1+4*(1-$B$44)+10*(1-$B$44)^2)+20*$B$44^3*(1-$B$44)^3*$B$44^2/(1-2*$B$44*(1-$B$44))))+Q40*(1-(1-($B$44^4*(1+4*(1-$B$44)+10*(1-$B$44)^2)+20*$B$44^3*(1-$B$44)^3*$B$44^2/(1-2*$B$44*(1-$B$44)))))</f>
        <v>0.063601613932347</v>
      </c>
      <c r="S40" s="5" t="n">
        <f aca="false">S39*($B$43^4*(1+4*(1-$B$43)+10*(1-$B$43)^2)+20*$B$43^3*(1-$B$43)^3*$B$43^2/(1-2*$B$43*(1-$B$43)))+R40*(1-($B$43^4*(1+4*(1-$B$43)+10*(1-$B$43)^2)+20*$B$43^3*(1-$B$43)^3*$B$43^2/(1-2*$B$43*(1-$B$43))))</f>
        <v>0.216114337408505</v>
      </c>
      <c r="T40" s="5" t="n">
        <f aca="false">T39*(1-($B$44^4*(1+4*(1-$B$44)+10*(1-$B$44)^2)+20*$B$44^3*(1-$B$44)^3*$B$44^2/(1-2*$B$44*(1-$B$44))))+S40*(1-(1-($B$44^4*(1+4*(1-$B$44)+10*(1-$B$44)^2)+20*$B$44^3*(1-$B$44)^3*$B$44^2/(1-2*$B$44*(1-$B$44)))))</f>
        <v>0.252009822995323</v>
      </c>
      <c r="U40" s="5" t="n">
        <f aca="false">U39*($B$43^4*(1+4*(1-$B$43)+10*(1-$B$43)^2)+20*$B$43^3*(1-$B$43)^3*$B$43^2/(1-2*$B$43*(1-$B$43)))+T40*(1-($B$43^4*(1+4*(1-$B$43)+10*(1-$B$43)^2)+20*$B$43^3*(1-$B$43)^3*$B$43^2/(1-2*$B$43*(1-$B$43))))</f>
        <v>0.33143813667058</v>
      </c>
      <c r="V40" s="5" t="n">
        <f aca="false">V39*(1-($B$44^4*(1+4*(1-$B$44)+10*(1-$B$44)^2)+20*$B$44^3*(1-$B$44)^3*$B$44^2/(1-2*$B$44*(1-$B$44))))+U40*(1-(1-($B$44^4*(1+4*(1-$B$44)+10*(1-$B$44)^2)+20*$B$44^3*(1-$B$44)^3*$B$44^2/(1-2*$B$44*(1-$B$44)))))</f>
        <v>0.311873777371771</v>
      </c>
      <c r="W40" s="5" t="n">
        <f aca="false">V40*(1-($B$43^4*(1+4*(1-$B$43)+10*(1-$B$43)^2)+20*$B$43^3*(1-$B$43)^3*$B$43^2/(1-2*$B$43*(1-$B$43))))</f>
        <v>0.0613689680724</v>
      </c>
    </row>
    <row r="41" customFormat="false" ht="15" hidden="false" customHeight="false" outlineLevel="0" collapsed="false">
      <c r="A41" s="0" t="s">
        <v>59</v>
      </c>
      <c r="B41" s="0" t="n">
        <f aca="false">$B$37-0*($B$23*$B$17-(1-$B$23)*$B$20)</f>
        <v>0.634702780167353</v>
      </c>
      <c r="C41" s="0" t="n">
        <f aca="false">$B$37-0*($B$23*$B$18-(1-$B$23)*$B$21)</f>
        <v>0.634702780167353</v>
      </c>
      <c r="D41" s="0" t="n">
        <f aca="false">$B$37-0*($B$23*$B$19-(1-$B$23)*$B$22)+$B$24*($B$25*1+(1-$B$25)*0)</f>
        <v>0.644702780167353</v>
      </c>
      <c r="H41" s="0" t="n">
        <f aca="false">H40*(1-$B$44)</f>
        <v>0.0138876753105837</v>
      </c>
      <c r="I41" s="0" t="n">
        <f aca="false">I40*(1-$B$44)+H41*(1-(1-$B$44))</f>
        <v>0.0435941105596317</v>
      </c>
      <c r="J41" s="0" t="n">
        <f aca="false">J40*$B$43+I41*(1-$B$43)</f>
        <v>0.110970403971265</v>
      </c>
      <c r="K41" s="0" t="n">
        <f aca="false">K40*$B$43+J41*(1-$B$43)</f>
        <v>0.185972186380787</v>
      </c>
      <c r="L41" s="0" t="n">
        <f aca="false">L40*(1-$B$44)+K41*(1-(1-$B$44))</f>
        <v>0.215534416816055</v>
      </c>
      <c r="M41" s="0" t="n">
        <f aca="false">M40*(1-$B$44)+L41*(1-(1-$B$44))</f>
        <v>0.230613069274604</v>
      </c>
      <c r="N41" s="0" t="n">
        <f aca="false">N40*$B$43+M41*(1-$B$43)</f>
        <v>0.233852606729318</v>
      </c>
      <c r="Q41" s="0" t="n">
        <f aca="false">Q40*(1-($B$44^4*(1+4*(1-$B$44)+10*(1-$B$44)^2)+20*$B$44^3*(1-$B$44)^3*$B$44^2/(1-2*$B$44*(1-$B$44))))</f>
        <v>0.00564386946766036</v>
      </c>
      <c r="R41" s="0" t="n">
        <f aca="false">R40*($B$43^4*(1+4*(1-$B$43)+10*(1-$B$43)^2)+20*$B$43^3*(1-$B$43)^3*$B$43^2/(1-2*$B$43*(1-$B$43)))</f>
        <v>0.0510864052230411</v>
      </c>
      <c r="S41" s="0" t="n">
        <f aca="false">S40*(1-($B$44^4*(1+4*(1-$B$44)+10*(1-$B$44)^2)+20*$B$44^3*(1-$B$44)^3*$B$44^2/(1-2*$B$44*(1-$B$44))))</f>
        <v>0.0479040272443318</v>
      </c>
      <c r="T41" s="0" t="n">
        <f aca="false">T40*($B$43^4*(1+4*(1-$B$43)+10*(1-$B$43)^2)+20*$B$43^3*(1-$B$43)^3*$B$43^2/(1-2*$B$43*(1-$B$43)))</f>
        <v>0.202420585606841</v>
      </c>
      <c r="U41" s="0" t="n">
        <f aca="false">U40*(1-($B$44^4*(1+4*(1-$B$44)+10*(1-$B$44)^2)+20*$B$44^3*(1-$B$44)^3*$B$44^2/(1-2*$B$44*(1-$B$44))))</f>
        <v>0.0734667663389057</v>
      </c>
      <c r="V41" s="0" t="n">
        <f aca="false">V40*($B$43^4*(1+4*(1-$B$43)+10*(1-$B$43)^2)+20*$B$43^3*(1-$B$43)^3*$B$43^2/(1-2*$B$43*(1-$B$43)))</f>
        <v>0.250504809299371</v>
      </c>
      <c r="W41" s="0" t="n">
        <f aca="false">W40*(1-($B$44^4*(1+4*(1-$B$44)+10*(1-$B$44)^2)+20*$B$44^3*(1-$B$44)^3*$B$44^2/(1-2*$B$44*(1-$B$44))))+V41*(1-(1-($B$44^4*(1+4*(1-$B$44)+10*(1-$B$44)^2)+20*$B$44^3*(1-$B$44)^3*$B$44^2/(1-2*$B$44*(1-$B$44)))))</f>
        <v>0.208580850900025</v>
      </c>
    </row>
    <row r="42" customFormat="false" ht="15" hidden="false" customHeight="false" outlineLevel="0" collapsed="false">
      <c r="A42" s="0" t="s">
        <v>60</v>
      </c>
      <c r="B42" s="0" t="n">
        <f aca="false">$B$38-0*((1-$B$23)*$B$17-$B$23*$B$20)</f>
        <v>0.621290571649758</v>
      </c>
      <c r="C42" s="0" t="n">
        <f aca="false">$B$38-0*((1-$B$23)*$B$18-$B$23*$B$21)</f>
        <v>0.621290571649758</v>
      </c>
      <c r="D42" s="0" t="n">
        <f aca="false">$B$38-0*((1-$B$23)*$B$19-$B$23*$B$22)+$B$24*($B$25*0+(1-$B$25)*1)</f>
        <v>0.621290571649758</v>
      </c>
      <c r="G42" s="0" t="s">
        <v>22</v>
      </c>
      <c r="H42" s="0" t="n">
        <f aca="false">H41*(1-$B$44)+I41*$B$43+J41*$B$43+K41*(1-$B$44)+L41*(1-$B$44)+M41*$B$43+N41*($B$43*(1-$B$44))/(($B$43*(1-$B$44))+((1-$B$43)*$B$44))</f>
        <v>0.52206910630064</v>
      </c>
      <c r="P42" s="0" t="s">
        <v>23</v>
      </c>
      <c r="Q42" s="0" t="n">
        <f aca="false">Q41+R41+S41+T41+U41+V41*(1-($B$44^4*(1+4*(1-$B$44)+10*(1-$B$44)^2)+20*$B$44^3*(1-$B$44)^3*$B$44^2/(1-2*$B$44*(1-$B$44))))+W41*H42</f>
        <v>0.544942311152459</v>
      </c>
    </row>
    <row r="43" customFormat="false" ht="15" hidden="false" customHeight="false" outlineLevel="0" collapsed="false">
      <c r="A43" s="0" t="s">
        <v>61</v>
      </c>
      <c r="B43" s="0" t="n">
        <f aca="false">$B$37-1*($B$23*$B$17-(1-$B$23)*$B$20)</f>
        <v>0.634702780167353</v>
      </c>
      <c r="C43" s="0" t="n">
        <f aca="false">$B$37-1*($B$23*$B$18-(1-$B$23)*$B$21)</f>
        <v>0.634702780167353</v>
      </c>
      <c r="D43" s="0" t="n">
        <f aca="false">$B$37-1*($B$23*$B$19-(1-$B$23)*$B$22)+$B$24*($B$25*1+(1-$B$25)*0)</f>
        <v>0.644702780167353</v>
      </c>
    </row>
    <row r="44" customFormat="false" ht="15" hidden="false" customHeight="false" outlineLevel="0" collapsed="false">
      <c r="A44" s="0" t="s">
        <v>62</v>
      </c>
      <c r="B44" s="0" t="n">
        <f aca="false">$B$38-1*((1-$B$23)*$B$17-$B$23*$B$20)</f>
        <v>0.621290571649758</v>
      </c>
      <c r="C44" s="0" t="n">
        <f aca="false">$B$38-1*((1-$B$23)*$B$18-$B$23*$B$21)</f>
        <v>0.621290571649758</v>
      </c>
      <c r="D44" s="0" t="n">
        <f aca="false">$B$38-1*((1-$B$23)*$B$19-$B$23*$B$22)+$B$24*($B$25*0+(1-$B$25)*1)</f>
        <v>0.621290571649758</v>
      </c>
      <c r="G44" s="3" t="s">
        <v>63</v>
      </c>
      <c r="P44" s="3" t="s">
        <v>64</v>
      </c>
    </row>
    <row r="45" customFormat="false" ht="15" hidden="false" customHeight="false" outlineLevel="0" collapsed="false">
      <c r="H45" s="0" t="n">
        <v>1</v>
      </c>
      <c r="I45" s="0" t="n">
        <f aca="false">H45*(1-$C$43)</f>
        <v>0.365297219832647</v>
      </c>
      <c r="J45" s="0" t="n">
        <f aca="false">I45*(1-(1-$C$44))</f>
        <v>0.226955718531893</v>
      </c>
      <c r="K45" s="0" t="n">
        <f aca="false">J45*(1-(1-$C$44))</f>
        <v>0.141005448105861</v>
      </c>
      <c r="L45" s="0" t="n">
        <f aca="false">K45*(1-$C$43)</f>
        <v>0.0515088981743278</v>
      </c>
      <c r="M45" s="0" t="n">
        <f aca="false">L45*(1-$C$43)</f>
        <v>0.0188160572997249</v>
      </c>
      <c r="N45" s="0" t="n">
        <f aca="false">M45*(1-(1-$C$44))</f>
        <v>0.0116902389959407</v>
      </c>
      <c r="Q45" s="0" t="n">
        <v>1</v>
      </c>
      <c r="R45" s="0" t="n">
        <f aca="false">Q45*(1-($C$43^4*(1+4*(1-$C$43)+10*(1-$C$43)^2)+20*$C$43^3*(1-$C$43)^3*$C$43^2/(1-2*$C$43*(1-$C$43))))</f>
        <v>0.196775017731756</v>
      </c>
      <c r="S45" s="0" t="n">
        <f aca="false">R45*(1-(1-($C$44^4*(1+4*(1-$C$44)+10*(1-$C$44)^2)+20*$C$44^3*(1-$C$44)^3*$C$44^2/(1-2*$C$44*(1-$C$44)))))</f>
        <v>0.153157755112997</v>
      </c>
      <c r="T45" s="0" t="n">
        <f aca="false">S45*(1-($C$43^4*(1+4*(1-$C$43)+10*(1-$C$43)^2)+20*$C$43^3*(1-$C$43)^3*$C$43^2/(1-2*$C$43*(1-$C$43))))</f>
        <v>0.0301376199781159</v>
      </c>
      <c r="U45" s="0" t="n">
        <f aca="false">T45*(1-(1-($C$44^4*(1+4*(1-$C$44)+10*(1-$C$44)^2)+20*$C$44^3*(1-$C$44)^3*$C$44^2/(1-2*$C$44*(1-$C$44)))))</f>
        <v>0.0234572979512527</v>
      </c>
      <c r="V45" s="0" t="n">
        <f aca="false">U45*(1-($C$43^4*(1+4*(1-$C$43)+10*(1-$C$43)^2)+20*$C$43^3*(1-$C$43)^3*$C$43^2/(1-2*$C$43*(1-$C$43))))</f>
        <v>0.00461581022029683</v>
      </c>
      <c r="W45" s="0" t="n">
        <f aca="false">V45*(1-(1-($C$44^4*(1+4*(1-$C$44)+10*(1-$C$44)^2)+20*$C$44^3*(1-$C$44)^3*$C$44^2/(1-2*$C$44*(1-$C$44)))))</f>
        <v>0.00359266709523055</v>
      </c>
    </row>
    <row r="46" customFormat="false" ht="15" hidden="false" customHeight="false" outlineLevel="0" collapsed="false">
      <c r="A46" s="3" t="s">
        <v>65</v>
      </c>
      <c r="H46" s="5" t="n">
        <f aca="false">H45*$C$43</f>
        <v>0.634702780167353</v>
      </c>
      <c r="I46" s="5" t="n">
        <f aca="false">I45*(1-$C$44)+H46*(1-(1-$C$44))</f>
        <v>0.53267635441862</v>
      </c>
      <c r="J46" s="5" t="n">
        <f aca="false">J45*(1-$C$44)+I46*(1-(1-$C$44))</f>
        <v>0.416897067167085</v>
      </c>
      <c r="K46" s="5" t="n">
        <f aca="false">K45*$C$43+J46*(1-$C$43)</f>
        <v>0.241787889524054</v>
      </c>
      <c r="L46" s="5" t="n">
        <f aca="false">L45*$C$43+K46*(1-$C$43)</f>
        <v>0.121017284706943</v>
      </c>
      <c r="M46" s="5" t="n">
        <f aca="false">M45*(1-$C$44)+L46*(1-(1-$C$44))</f>
        <v>0.0823127162988625</v>
      </c>
      <c r="N46" s="5" t="n">
        <f aca="false">N45*(1-$C$44)+M46*(1-(1-$C$44))</f>
        <v>0.055567318290795</v>
      </c>
      <c r="Q46" s="5" t="n">
        <f aca="false">Q45*($C$43^4*(1+4*(1-$C$43)+10*(1-$C$43)^2)+20*$C$43^3*(1-$C$43)^3*$C$43^2/(1-2*$C$43*(1-$C$43)))</f>
        <v>0.803224982268244</v>
      </c>
      <c r="R46" s="5" t="n">
        <f aca="false">R45*(1-($C$44^4*(1+4*(1-$C$44)+10*(1-$C$44)^2)+20*$C$44^3*(1-$C$44)^3*$C$44^2/(1-2*$C$44*(1-$C$44))))+Q46*(1-(1-($C$44^4*(1+4*(1-$C$44)+10*(1-$C$44)^2)+20*$C$44^3*(1-$C$44)^3*$C$44^2/(1-2*$C$44*(1-$C$44)))))</f>
        <v>0.668798937370694</v>
      </c>
      <c r="S46" s="5" t="n">
        <f aca="false">S45*($C$43^4*(1+4*(1-$C$43)+10*(1-$C$43)^2)+20*$C$43^3*(1-$C$43)^3*$C$43^2/(1-2*$C$43*(1-$C$43)))+R46*(1-($C$43^4*(1+4*(1-$C$43)+10*(1-$C$43)^2)+20*$C$43^3*(1-$C$43)^3*$C$43^2/(1-2*$C$43*(1-$C$43))))</f>
        <v>0.254623057894979</v>
      </c>
      <c r="T46" s="5" t="n">
        <f aca="false">T45*(1-($C$44^4*(1+4*(1-$C$44)+10*(1-$C$44)^2)+20*$C$44^3*(1-$C$44)^3*$C$44^2/(1-2*$C$44*(1-$C$44))))+S46*(1-(1-($C$44^4*(1+4*(1-$C$44)+10*(1-$C$44)^2)+20*$C$44^3*(1-$C$44)^3*$C$44^2/(1-2*$C$44*(1-$C$44)))))</f>
        <v>0.204863487739306</v>
      </c>
      <c r="U46" s="5" t="n">
        <f aca="false">U45*($C$43^4*(1+4*(1-$C$43)+10*(1-$C$43)^2)+20*$C$43^3*(1-$C$43)^3*$C$43^2/(1-2*$C$43*(1-$C$43)))+T46*(1-($C$43^4*(1+4*(1-$C$43)+10*(1-$C$43)^2)+20*$C$43^3*(1-$C$43)^3*$C$43^2/(1-2*$C$43*(1-$C$43))))</f>
        <v>0.0591535041634472</v>
      </c>
      <c r="V46" s="5" t="n">
        <f aca="false">V45*(1-($C$44^4*(1+4*(1-$C$44)+10*(1-$C$44)^2)+20*$C$44^3*(1-$C$44)^3*$C$44^2/(1-2*$C$44*(1-$C$44))))+U46*(1-(1-($C$44^4*(1+4*(1-$C$44)+10*(1-$C$44)^2)+20*$C$44^3*(1-$C$44)^3*$C$44^2/(1-2*$C$44*(1-$C$44)))))</f>
        <v>0.0470646478301566</v>
      </c>
      <c r="W46" s="5" t="n">
        <f aca="false">V46*(1-($C$43^4*(1+4*(1-$C$43)+10*(1-$C$43)^2)+20*$C$43^3*(1-$C$43)^3*$C$43^2/(1-2*$C$43*(1-$C$43))))</f>
        <v>0.00926114691131791</v>
      </c>
    </row>
    <row r="47" customFormat="false" ht="15" hidden="false" customHeight="false" outlineLevel="0" collapsed="false">
      <c r="A47" s="0" t="s">
        <v>66</v>
      </c>
      <c r="B47" s="0" t="n">
        <f aca="false">Q12*Q22+Q12*(1-Q22)*Q32+(1-Q12)*Q22*Q32</f>
        <v>0.583499779716334</v>
      </c>
      <c r="H47" s="0" t="n">
        <f aca="false">H46*(1-$C$44)</f>
        <v>0.240367927049487</v>
      </c>
      <c r="I47" s="0" t="n">
        <f aca="false">I46*(1-$C$44)+H47*(1-(1-$C$44))</f>
        <v>0.35106788448041</v>
      </c>
      <c r="J47" s="0" t="n">
        <f aca="false">J46*$C$43+I47*(1-$C$43)</f>
        <v>0.392849849747787</v>
      </c>
      <c r="K47" s="0" t="n">
        <f aca="false">K46*$C$43+J47*(1-$C$43)</f>
        <v>0.296970403616254</v>
      </c>
      <c r="L47" s="0" t="n">
        <f aca="false">L46*(1-$C$44)+K47*(1-(1-$C$44))</f>
        <v>0.230335298537667</v>
      </c>
      <c r="M47" s="0" t="n">
        <f aca="false">M46*(1-$C$44)+L47*(1-(1-$C$44))</f>
        <v>0.174277751035082</v>
      </c>
      <c r="N47" s="0" t="n">
        <f aca="false">N46*$C$43+M47*(1-$C$43)</f>
        <v>0.0989319093374137</v>
      </c>
      <c r="Q47" s="0" t="n">
        <f aca="false">Q46*(1-($C$44^4*(1+4*(1-$C$44)+10*(1-$C$44)^2)+20*$C$44^3*(1-$C$44)^3*$C$44^2/(1-2*$C$44*(1-$C$44))))</f>
        <v>0.17804330751631</v>
      </c>
      <c r="R47" s="0" t="n">
        <f aca="false">R46*($C$43^4*(1+4*(1-$C$43)+10*(1-$C$43)^2)+20*$C$43^3*(1-$C$43)^3*$C$43^2/(1-2*$C$43*(1-$C$43)))+Q47*(1-($C$43^4*(1+4*(1-$C$43)+10*(1-$C$43)^2)+20*$C$43^3*(1-$C$43)^3*$C$43^2/(1-2*$C$43*(1-$C$43))))</f>
        <v>0.572230489604138</v>
      </c>
      <c r="S47" s="0" t="n">
        <f aca="false">S46*(1-($C$44^4*(1+4*(1-$C$44)+10*(1-$C$44)^2)+20*$C$44^3*(1-$C$44)^3*$C$44^2/(1-2*$C$44*(1-$C$44))))+R47*(1-(1-($C$44^4*(1+4*(1-$C$44)+10*(1-$C$44)^2)+20*$C$44^3*(1-$C$44)^3*$C$44^2/(1-2*$C$44*(1-$C$44)))))</f>
        <v>0.501829445212351</v>
      </c>
      <c r="T47" s="0" t="n">
        <f aca="false">T46*($C$43^4*(1+4*(1-$C$43)+10*(1-$C$43)^2)+20*$C$43^3*(1-$C$43)^3*$C$43^2/(1-2*$C$43*(1-$C$43)))+S47*(1-($C$43^4*(1+4*(1-$C$43)+10*(1-$C$43)^2)+20*$C$43^3*(1-$C$43)^3*$C$43^2/(1-2*$C$43*(1-$C$43))))</f>
        <v>0.263298969286793</v>
      </c>
      <c r="U47" s="0" t="n">
        <f aca="false">U46*(1-($C$44^4*(1+4*(1-$C$44)+10*(1-$C$44)^2)+20*$C$44^3*(1-$C$44)^3*$C$44^2/(1-2*$C$44*(1-$C$44))))+T47*(1-(1-($C$44^4*(1+4*(1-$C$44)+10*(1-$C$44)^2)+20*$C$44^3*(1-$C$44)^3*$C$44^2/(1-2*$C$44*(1-$C$44)))))</f>
        <v>0.218047969097063</v>
      </c>
      <c r="V47" s="0" t="n">
        <f aca="false">V46*($C$43^4*(1+4*(1-$C$43)+10*(1-$C$43)^2)+20*$C$43^3*(1-$C$43)^3*$C$43^2/(1-2*$C$43*(1-$C$43)))+U47*(1-($C$43^4*(1+4*(1-$C$43)+10*(1-$C$43)^2)+20*$C$43^3*(1-$C$43)^3*$C$43^2/(1-2*$C$43*(1-$C$43))))</f>
        <v>0.0807098939042866</v>
      </c>
      <c r="W47" s="0" t="n">
        <f aca="false">V47*(1-(1-($C$44^4*(1+4*(1-$C$44)+10*(1-$C$44)^2)+20*$C$44^3*(1-$C$44)^3*$C$44^2/(1-2*$C$44*(1-$C$44)))))</f>
        <v>0.0628196928059215</v>
      </c>
    </row>
    <row r="48" customFormat="false" ht="15" hidden="false" customHeight="false" outlineLevel="0" collapsed="false">
      <c r="A48" s="0" t="s">
        <v>67</v>
      </c>
      <c r="B48" s="0" t="n">
        <f aca="false">Q42*Q52+Q42*(1-Q52)*Q62+(1-Q42)*Q52*Q62</f>
        <v>0.583499779716334</v>
      </c>
      <c r="H48" s="0" t="n">
        <f aca="false">H47*(1-$C$44)</f>
        <v>0.0910296002466439</v>
      </c>
      <c r="I48" s="0" t="n">
        <f aca="false">I47*$C$43+H48*(1-$C$43)</f>
        <v>0.256076622199763</v>
      </c>
      <c r="J48" s="0" t="n">
        <f aca="false">J47*$C$43+I48*(1-$C$43)</f>
        <v>0.342886969976956</v>
      </c>
      <c r="K48" s="0" t="n">
        <f aca="false">K47*(1-$C$44)+J48*(1-(1-$C$44))</f>
        <v>0.325497933378689</v>
      </c>
      <c r="L48" s="0" t="n">
        <f aca="false">L47*(1-$C$44)+K48*(1-(1-$C$44))</f>
        <v>0.289458946337742</v>
      </c>
      <c r="M48" s="0" t="n">
        <f aca="false">M47*$C$43+L48*(1-$C$43)</f>
        <v>0.216353121456145</v>
      </c>
      <c r="N48" s="0" t="n">
        <f aca="false">N47*$C$43+M48*(1-$C$43)</f>
        <v>0.141825551673766</v>
      </c>
      <c r="Q48" s="0" t="n">
        <f aca="false">Q47*($C$43^4*(1+4*(1-$C$43)+10*(1-$C$43)^2)+20*$C$43^3*(1-$C$43)^3*$C$43^2/(1-2*$C$43*(1-$C$43)))</f>
        <v>0.143008832522767</v>
      </c>
      <c r="R48" s="0" t="n">
        <f aca="false">R47*(1-($C$44^4*(1+4*(1-$C$44)+10*(1-$C$44)^2)+20*$C$44^3*(1-$C$44)^3*$C$44^2/(1-2*$C$44*(1-$C$44))))+Q48*(1-(1-($C$44^4*(1+4*(1-$C$44)+10*(1-$C$44)^2)+20*$C$44^3*(1-$C$44)^3*$C$44^2/(1-2*$C$44*(1-$C$44)))))</f>
        <v>0.238150349745743</v>
      </c>
      <c r="S48" s="0" t="n">
        <f aca="false">S47*($C$43^4*(1+4*(1-$C$43)+10*(1-$C$43)^2)+20*$C$43^3*(1-$C$43)^3*$C$43^2/(1-2*$C$43*(1-$C$43)))+R48*(1-($C$43^4*(1+4*(1-$C$43)+10*(1-$C$43)^2)+20*$C$43^3*(1-$C$43)^3*$C$43^2/(1-2*$C$43*(1-$C$43))))</f>
        <v>0.449943986526416</v>
      </c>
      <c r="T48" s="0" t="n">
        <f aca="false">T47*(1-($C$44^4*(1+4*(1-$C$44)+10*(1-$C$44)^2)+20*$C$44^3*(1-$C$44)^3*$C$44^2/(1-2*$C$44*(1-$C$44))))+S48*(1-(1-($C$44^4*(1+4*(1-$C$44)+10*(1-$C$44)^2)+20*$C$44^3*(1-$C$44)^3*$C$44^2/(1-2*$C$44*(1-$C$44)))))</f>
        <v>0.408572145592211</v>
      </c>
      <c r="U48" s="0" t="n">
        <f aca="false">U47*($C$43^4*(1+4*(1-$C$43)+10*(1-$C$43)^2)+20*$C$43^3*(1-$C$43)^3*$C$43^2/(1-2*$C$43*(1-$C$43)))+T48*(1-($C$43^4*(1+4*(1-$C$43)+10*(1-$C$43)^2)+20*$C$43^3*(1-$C$43)^3*$C$43^2/(1-2*$C$43*(1-$C$43))))</f>
        <v>0.255538367305224</v>
      </c>
      <c r="V48" s="0" t="n">
        <f aca="false">V47*(1-($C$44^4*(1+4*(1-$C$44)+10*(1-$C$44)^2)+20*$C$44^3*(1-$C$44)^3*$C$44^2/(1-2*$C$44*(1-$C$44))))+U48*(1-(1-($C$44^4*(1+4*(1-$C$44)+10*(1-$C$44)^2)+20*$C$44^3*(1-$C$44)^3*$C$44^2/(1-2*$C$44*(1-$C$44)))))</f>
        <v>0.216785788215328</v>
      </c>
      <c r="W48" s="0" t="n">
        <f aca="false">V48*(1-($C$43^4*(1+4*(1-$C$43)+10*(1-$C$43)^2)+20*$C$43^3*(1-$C$43)^3*$C$43^2/(1-2*$C$43*(1-$C$43))))</f>
        <v>0.042658027320064</v>
      </c>
    </row>
    <row r="49" customFormat="false" ht="15" hidden="false" customHeight="false" outlineLevel="0" collapsed="false">
      <c r="A49" s="0" t="s">
        <v>68</v>
      </c>
      <c r="B49" s="0" t="n">
        <f aca="false">(1-$B$16)*$B$47+$B$16*$B$48</f>
        <v>0.583499779716334</v>
      </c>
      <c r="H49" s="0" t="n">
        <f aca="false">H48*$C$43</f>
        <v>0.0577767403540676</v>
      </c>
      <c r="I49" s="0" t="n">
        <f aca="false">I48*$C$43+H49*(1-$C$43)</f>
        <v>0.183638226668388</v>
      </c>
      <c r="J49" s="0" t="n">
        <f aca="false">J48*(1-$C$44)+I49*(1-(1-$C$44))</f>
        <v>0.24394722721227</v>
      </c>
      <c r="K49" s="0" t="n">
        <f aca="false">K48*(1-$C$44)+J49*(1-(1-$C$44))</f>
        <v>0.274831248526113</v>
      </c>
      <c r="L49" s="0" t="n">
        <f aca="false">L48*$C$43+K49*(1-$C$43)</f>
        <v>0.284115488994602</v>
      </c>
      <c r="M49" s="0" t="n">
        <f aca="false">M48*$C$43+L49*(1-$C$43)</f>
        <v>0.241106525927222</v>
      </c>
      <c r="N49" s="0" t="n">
        <f aca="false">N48*(1-$C$44)+M49*(1-(1-$C$44))</f>
        <v>0.20350788492164</v>
      </c>
      <c r="Q49" s="0" t="n">
        <f aca="false">Q48*(1-($C$44^4*(1+4*(1-$C$44)+10*(1-$C$44)^2)+20*$C$44^3*(1-$C$44)^3*$C$44^2/(1-2*$C$44*(1-$C$44))))</f>
        <v>0.0316994193513472</v>
      </c>
      <c r="R49" s="0" t="n">
        <f aca="false">R48*($C$43^4*(1+4*(1-$C$43)+10*(1-$C$43)^2)+20*$C$43^3*(1-$C$43)^3*$C$43^2/(1-2*$C$43*(1-$C$43)))+Q49*(1-($C$43^4*(1+4*(1-$C$43)+10*(1-$C$43)^2)+20*$C$43^3*(1-$C$43)^3*$C$43^2/(1-2*$C$43*(1-$C$43))))</f>
        <v>0.197525964256648</v>
      </c>
      <c r="S49" s="0" t="n">
        <f aca="false">S48*(1-($C$44^4*(1+4*(1-$C$44)+10*(1-$C$44)^2)+20*$C$44^3*(1-$C$44)^3*$C$44^2/(1-2*$C$44*(1-$C$44))))+R49*(1-(1-($C$44^4*(1+4*(1-$C$44)+10*(1-$C$44)^2)+20*$C$44^3*(1-$C$44)^3*$C$44^2/(1-2*$C$44*(1-$C$44)))))</f>
        <v>0.253477086985331</v>
      </c>
      <c r="T49" s="0" t="n">
        <f aca="false">T48*($C$43^4*(1+4*(1-$C$43)+10*(1-$C$43)^2)+20*$C$43^3*(1-$C$43)^3*$C$43^2/(1-2*$C$43*(1-$C$43)))+S49*(1-($C$43^4*(1+4*(1-$C$43)+10*(1-$C$43)^2)+20*$C$43^3*(1-$C$43)^3*$C$43^2/(1-2*$C$43*(1-$C$43))))</f>
        <v>0.378053312684735</v>
      </c>
      <c r="U49" s="0" t="n">
        <f aca="false">U48*(1-($C$44^4*(1+4*(1-$C$44)+10*(1-$C$44)^2)+20*$C$44^3*(1-$C$44)^3*$C$44^2/(1-2*$C$44*(1-$C$44))))+T49*(1-(1-($C$44^4*(1+4*(1-$C$44)+10*(1-$C$44)^2)+20*$C$44^3*(1-$C$44)^3*$C$44^2/(1-2*$C$44*(1-$C$44)))))</f>
        <v>0.350896580041845</v>
      </c>
      <c r="V49" s="0" t="n">
        <f aca="false">V48*($C$43^4*(1+4*(1-$C$43)+10*(1-$C$43)^2)+20*$C$43^3*(1-$C$43)^3*$C$43^2/(1-2*$C$43*(1-$C$43)))+U49*(1-($C$43^4*(1+4*(1-$C$43)+10*(1-$C$43)^2)+20*$C$43^3*(1-$C$43)^3*$C$43^2/(1-2*$C$43*(1-$C$43))))</f>
        <v>0.243175441655011</v>
      </c>
      <c r="W49" s="0" t="n">
        <f aca="false">V49*(1-(1-($C$44^4*(1+4*(1-$C$44)+10*(1-$C$44)^2)+20*$C$44^3*(1-$C$44)^3*$C$44^2/(1-2*$C$44*(1-$C$44)))))</f>
        <v>0.189273034614914</v>
      </c>
    </row>
    <row r="50" customFormat="false" ht="15" hidden="false" customHeight="false" outlineLevel="0" collapsed="false">
      <c r="A50" s="0" t="s">
        <v>69</v>
      </c>
      <c r="B50" s="0" t="n">
        <f aca="false">1/(1+EXP(-$B$26*LN(B49/(1-B49))))</f>
        <v>0.548732580574212</v>
      </c>
      <c r="H50" s="0" t="n">
        <f aca="false">H49*$C$43</f>
        <v>0.036671057731734</v>
      </c>
      <c r="I50" s="0" t="n">
        <f aca="false">I49*(1-$C$44)+H50*(1-(1-$C$44))</f>
        <v>0.0923289102659877</v>
      </c>
      <c r="J50" s="0" t="n">
        <f aca="false">J49*(1-$C$44)+I50*(1-(1-$C$44))</f>
        <v>0.14974819640414</v>
      </c>
      <c r="K50" s="0" t="n">
        <f aca="false">K49*$C$43+J50*(1-$C$43)</f>
        <v>0.229138757337774</v>
      </c>
      <c r="L50" s="0" t="n">
        <f aca="false">L49*$C$43+K50*(1-$C$43)</f>
        <v>0.264032641764877</v>
      </c>
      <c r="M50" s="0" t="n">
        <f aca="false">M49*(1-$C$44)+L50*(1-(1-$C$44))</f>
        <v>0.255350305541707</v>
      </c>
      <c r="N50" s="0" t="n">
        <f aca="false">N49*(1-$C$44)+M50*(1-(1-$C$44))</f>
        <v>0.235717092064389</v>
      </c>
      <c r="Q50" s="0" t="n">
        <f aca="false">Q49*($C$43^4*(1+4*(1-$C$43)+10*(1-$C$43)^2)+20*$C$43^3*(1-$C$43)^3*$C$43^2/(1-2*$C$43*(1-$C$43)))</f>
        <v>0.0254617655463995</v>
      </c>
      <c r="R50" s="0" t="n">
        <f aca="false">R49*(1-($C$44^4*(1+4*(1-$C$44)+10*(1-$C$44)^2)+20*$C$44^3*(1-$C$44)^3*$C$44^2/(1-2*$C$44*(1-$C$44))))+Q50*(1-(1-($C$44^4*(1+4*(1-$C$44)+10*(1-$C$44)^2)+20*$C$44^3*(1-$C$44)^3*$C$44^2/(1-2*$C$44*(1-$C$44)))))</f>
        <v>0.063601613932347</v>
      </c>
      <c r="S50" s="0" t="n">
        <f aca="false">S49*($C$43^4*(1+4*(1-$C$43)+10*(1-$C$43)^2)+20*$C$43^3*(1-$C$43)^3*$C$43^2/(1-2*$C$43*(1-$C$43)))+R50*(1-($C$43^4*(1+4*(1-$C$43)+10*(1-$C$43)^2)+20*$C$43^3*(1-$C$43)^3*$C$43^2/(1-2*$C$43*(1-$C$43))))</f>
        <v>0.216114337408505</v>
      </c>
      <c r="T50" s="0" t="n">
        <f aca="false">T49*(1-($C$44^4*(1+4*(1-$C$44)+10*(1-$C$44)^2)+20*$C$44^3*(1-$C$44)^3*$C$44^2/(1-2*$C$44*(1-$C$44))))+S50*(1-(1-($C$44^4*(1+4*(1-$C$44)+10*(1-$C$44)^2)+20*$C$44^3*(1-$C$44)^3*$C$44^2/(1-2*$C$44*(1-$C$44)))))</f>
        <v>0.252009822995323</v>
      </c>
      <c r="U50" s="0" t="n">
        <f aca="false">U49*($C$43^4*(1+4*(1-$C$43)+10*(1-$C$43)^2)+20*$C$43^3*(1-$C$43)^3*$C$43^2/(1-2*$C$43*(1-$C$43)))+T50*(1-($C$43^4*(1+4*(1-$C$43)+10*(1-$C$43)^2)+20*$C$43^3*(1-$C$43)^3*$C$43^2/(1-2*$C$43*(1-$C$43))))</f>
        <v>0.33143813667058</v>
      </c>
      <c r="V50" s="0" t="n">
        <f aca="false">V49*(1-($C$44^4*(1+4*(1-$C$44)+10*(1-$C$44)^2)+20*$C$44^3*(1-$C$44)^3*$C$44^2/(1-2*$C$44*(1-$C$44))))+U50*(1-(1-($C$44^4*(1+4*(1-$C$44)+10*(1-$C$44)^2)+20*$C$44^3*(1-$C$44)^3*$C$44^2/(1-2*$C$44*(1-$C$44)))))</f>
        <v>0.311873777371771</v>
      </c>
      <c r="W50" s="0" t="n">
        <f aca="false">V50*(1-($C$43^4*(1+4*(1-$C$43)+10*(1-$C$43)^2)+20*$C$43^3*(1-$C$43)^3*$C$43^2/(1-2*$C$43*(1-$C$43))))</f>
        <v>0.0613689680724</v>
      </c>
    </row>
    <row r="51" customFormat="false" ht="15" hidden="false" customHeight="false" outlineLevel="0" collapsed="false">
      <c r="A51" s="0" t="s">
        <v>70</v>
      </c>
      <c r="B51" s="0" t="n">
        <f aca="false">1/(1+EXP(-($B$30*LN(B50/(1-B50))+$B$31*LN($B$28/(1-$B$28))+$B$32*LN($B$29/(1-$B$29)))))</f>
        <v>0.536427456913588</v>
      </c>
      <c r="H51" s="0" t="n">
        <f aca="false">H50*(1-$C$44)</f>
        <v>0.0138876753105837</v>
      </c>
      <c r="I51" s="0" t="n">
        <f aca="false">I50*(1-$C$44)+H51*(1-(1-$C$44))</f>
        <v>0.0435941105596317</v>
      </c>
      <c r="J51" s="0" t="n">
        <f aca="false">J50*$C$43+I51*(1-$C$43)</f>
        <v>0.110970403971265</v>
      </c>
      <c r="K51" s="0" t="n">
        <f aca="false">K50*$C$43+J51*(1-$C$43)</f>
        <v>0.185972186380787</v>
      </c>
      <c r="L51" s="0" t="n">
        <f aca="false">L50*(1-$C$44)+K51*(1-(1-$C$44))</f>
        <v>0.215534416816055</v>
      </c>
      <c r="M51" s="0" t="n">
        <f aca="false">M50*(1-$C$44)+L51*(1-(1-$C$44))</f>
        <v>0.230613069274604</v>
      </c>
      <c r="N51" s="0" t="n">
        <f aca="false">N50*$C$43+M51*(1-$C$43)</f>
        <v>0.233852606729318</v>
      </c>
      <c r="Q51" s="0" t="n">
        <f aca="false">Q50*(1-($C$44^4*(1+4*(1-$C$44)+10*(1-$C$44)^2)+20*$C$44^3*(1-$C$44)^3*$C$44^2/(1-2*$C$44*(1-$C$44))))</f>
        <v>0.00564386946766036</v>
      </c>
      <c r="R51" s="0" t="n">
        <f aca="false">R50*($C$43^4*(1+4*(1-$C$43)+10*(1-$C$43)^2)+20*$C$43^3*(1-$C$43)^3*$C$43^2/(1-2*$C$43*(1-$C$43)))</f>
        <v>0.0510864052230411</v>
      </c>
      <c r="S51" s="0" t="n">
        <f aca="false">S50*(1-($C$44^4*(1+4*(1-$C$44)+10*(1-$C$44)^2)+20*$C$44^3*(1-$C$44)^3*$C$44^2/(1-2*$C$44*(1-$C$44))))</f>
        <v>0.0479040272443318</v>
      </c>
      <c r="T51" s="0" t="n">
        <f aca="false">T50*($C$43^4*(1+4*(1-$C$43)+10*(1-$C$43)^2)+20*$C$43^3*(1-$C$43)^3*$C$43^2/(1-2*$C$43*(1-$C$43)))</f>
        <v>0.202420585606841</v>
      </c>
      <c r="U51" s="0" t="n">
        <f aca="false">U50*(1-($C$44^4*(1+4*(1-$C$44)+10*(1-$C$44)^2)+20*$C$44^3*(1-$C$44)^3*$C$44^2/(1-2*$C$44*(1-$C$44))))</f>
        <v>0.0734667663389057</v>
      </c>
      <c r="V51" s="0" t="n">
        <f aca="false">V50*($C$43^4*(1+4*(1-$C$43)+10*(1-$C$43)^2)+20*$C$43^3*(1-$C$43)^3*$C$43^2/(1-2*$C$43*(1-$C$43)))</f>
        <v>0.250504809299371</v>
      </c>
      <c r="W51" s="0" t="n">
        <f aca="false">W50*(1-($C$44^4*(1+4*(1-$C$44)+10*(1-$C$44)^2)+20*$C$44^3*(1-$C$44)^3*$C$44^2/(1-2*$C$44*(1-$C$44))))+V51*(1-(1-($C$44^4*(1+4*(1-$C$44)+10*(1-$C$44)^2)+20*$C$44^3*(1-$C$44)^3*$C$44^2/(1-2*$C$44*(1-$C$44)))))</f>
        <v>0.208580850900025</v>
      </c>
    </row>
    <row r="52" customFormat="false" ht="15" hidden="false" customHeight="false" outlineLevel="0" collapsed="false">
      <c r="A52" s="0" t="s">
        <v>71</v>
      </c>
      <c r="B52" s="0" t="n">
        <f aca="false">1/(1+EXP(-(0.5*LN(B51/(1-B51))+0.5*LN($B$27/(1-$B$27)))))</f>
        <v>0.50311536329648</v>
      </c>
      <c r="G52" s="0" t="s">
        <v>22</v>
      </c>
      <c r="H52" s="0" t="n">
        <f aca="false">H51*(1-$C$44)+I51*$C$43+J51*$C$43+K51*(1-$C$44)+L51*(1-$C$44)+M51*$C$43+N51*($C$43*(1-$C$44))/(($C$43*(1-$C$44))+((1-$C$43)*$C$44))</f>
        <v>0.52206910630064</v>
      </c>
      <c r="P52" s="0" t="s">
        <v>23</v>
      </c>
      <c r="Q52" s="0" t="n">
        <f aca="false">Q51+R51+S51+T51+U51+V51*(1-($C$44^4*(1+4*(1-$C$44)+10*(1-$C$44)^2)+20*$C$44^3*(1-$C$44)^3*$C$44^2/(1-2*$C$44*(1-$C$44))))+W51*H52</f>
        <v>0.544942311152459</v>
      </c>
    </row>
    <row r="53" customFormat="false" ht="15" hidden="false" customHeight="false" outlineLevel="0" collapsed="false">
      <c r="A53" s="0" t="s">
        <v>72</v>
      </c>
      <c r="B53" s="0" t="n">
        <f aca="false">IF(B52&gt;=0.5,-100*B52/(1-B52),100*(1-B52)/B52)</f>
        <v>-101.253958390482</v>
      </c>
    </row>
    <row r="54" customFormat="false" ht="15" hidden="false" customHeight="false" outlineLevel="0" collapsed="false">
      <c r="A54" s="0" t="s">
        <v>73</v>
      </c>
      <c r="B54" s="0" t="n">
        <v>0.548732580574212</v>
      </c>
      <c r="G54" s="3" t="s">
        <v>74</v>
      </c>
      <c r="P54" s="3" t="s">
        <v>75</v>
      </c>
    </row>
    <row r="55" customFormat="false" ht="15" hidden="false" customHeight="false" outlineLevel="0" collapsed="false">
      <c r="A55" s="0" t="s">
        <v>76</v>
      </c>
      <c r="B55" s="0" t="n">
        <v>0.50311536329648</v>
      </c>
      <c r="H55" s="0" t="n">
        <v>1</v>
      </c>
      <c r="I55" s="0" t="n">
        <f aca="false">H55*(1-$D$43)</f>
        <v>0.355297219832647</v>
      </c>
      <c r="J55" s="0" t="n">
        <f aca="false">I55*(1-(1-$D$44))</f>
        <v>0.220742812815395</v>
      </c>
      <c r="K55" s="0" t="n">
        <f aca="false">J55*(1-(1-$D$44))</f>
        <v>0.137145428361653</v>
      </c>
      <c r="L55" s="0" t="n">
        <f aca="false">K55*(1-$D$43)</f>
        <v>0.0487273894096526</v>
      </c>
      <c r="M55" s="0" t="n">
        <f aca="false">L55*(1-$D$43)</f>
        <v>0.0173127059869524</v>
      </c>
      <c r="N55" s="0" t="n">
        <f aca="false">M55*(1-(1-$D$44))</f>
        <v>0.0107562209994378</v>
      </c>
      <c r="Q55" s="0" t="n">
        <v>1</v>
      </c>
      <c r="R55" s="0" t="n">
        <f aca="false">Q55*(1-($D$43^4*(1+4*(1-$D$43)+10*(1-$D$43)^2)+20*$D$43^3*(1-$D$43)^3*$D$43^2/(1-2*$D$43*(1-$D$43))))</f>
        <v>0.179262362509898</v>
      </c>
      <c r="S55" s="0" t="n">
        <f aca="false">R55*(1-(1-($D$44^4*(1+4*(1-$D$44)+10*(1-$D$44)^2)+20*$D$44^3*(1-$D$44)^3*$D$44^2/(1-2*$D$44*(1-$D$44)))))</f>
        <v>0.139526965032194</v>
      </c>
      <c r="T55" s="0" t="n">
        <f aca="false">S55*(1-($D$43^4*(1+4*(1-$D$43)+10*(1-$D$43)^2)+20*$D$43^3*(1-$D$43)^3*$D$43^2/(1-2*$D$43*(1-$D$43))))</f>
        <v>0.0250119333855071</v>
      </c>
      <c r="U55" s="0" t="n">
        <f aca="false">T55*(1-(1-($D$44^4*(1+4*(1-$D$44)+10*(1-$D$44)^2)+20*$D$44^3*(1-$D$44)^3*$D$44^2/(1-2*$D$44*(1-$D$44)))))</f>
        <v>0.0194677739710952</v>
      </c>
      <c r="V55" s="0" t="n">
        <f aca="false">U55*(1-($D$43^4*(1+4*(1-$D$43)+10*(1-$D$43)^2)+20*$D$43^3*(1-$D$43)^3*$D$43^2/(1-2*$D$43*(1-$D$43))))</f>
        <v>0.00348983915486722</v>
      </c>
      <c r="W55" s="0" t="n">
        <f aca="false">V55*(1-(1-($D$44^4*(1+4*(1-$D$44)+10*(1-$D$44)^2)+20*$D$44^3*(1-$D$44)^3*$D$44^2/(1-2*$D$44*(1-$D$44)))))</f>
        <v>0.00271627941811967</v>
      </c>
    </row>
    <row r="56" customFormat="false" ht="15" hidden="false" customHeight="false" outlineLevel="0" collapsed="false">
      <c r="H56" s="0" t="n">
        <f aca="false">H55*$D$43</f>
        <v>0.644702780167353</v>
      </c>
      <c r="I56" s="0" t="n">
        <f aca="false">I55*(1-$D$44)+H56*(1-(1-$D$44))</f>
        <v>0.535102165851615</v>
      </c>
      <c r="J56" s="0" t="n">
        <f aca="false">J55*(1-$D$44)+I56*(1-(1-$D$44))</f>
        <v>0.416051314966717</v>
      </c>
      <c r="K56" s="0" t="n">
        <f aca="false">K55*$D$43+J56*(1-$D$43)</f>
        <v>0.236239914467391</v>
      </c>
      <c r="L56" s="0" t="n">
        <f aca="false">L55*$D$43+K56*(1-$D$43)</f>
        <v>0.115350068246467</v>
      </c>
      <c r="M56" s="0" t="n">
        <f aca="false">M55*(1-$D$44)+L56*(1-(1-$D$44))</f>
        <v>0.0782223948282005</v>
      </c>
      <c r="N56" s="0" t="n">
        <f aca="false">N55*(1-$D$44)+M56*(1-(1-$D$44))</f>
        <v>0.0526723187045318</v>
      </c>
      <c r="Q56" s="0" t="n">
        <f aca="false">Q55*($D$43^4*(1+4*(1-$D$43)+10*(1-$D$43)^2)+20*$D$43^3*(1-$D$43)^3*$D$43^2/(1-2*$D$43*(1-$D$43)))</f>
        <v>0.820737637490102</v>
      </c>
      <c r="R56" s="0" t="n">
        <f aca="false">R55*(1-($D$44^4*(1+4*(1-$D$44)+10*(1-$D$44)^2)+20*$D$44^3*(1-$D$44)^3*$D$44^2/(1-2*$D$44*(1-$D$44))))+Q56*(1-(1-($D$44^4*(1+4*(1-$D$44)+10*(1-$D$44)^2)+20*$D$44^3*(1-$D$44)^3*$D$44^2/(1-2*$D$44*(1-$D$44)))))</f>
        <v>0.67854786231044</v>
      </c>
      <c r="S56" s="0" t="n">
        <f aca="false">S55*($D$43^4*(1+4*(1-$D$43)+10*(1-$D$43)^2)+20*$D$43^3*(1-$D$43)^3*$D$43^2/(1-2*$D$43*(1-$D$43)))+R56*(1-($D$43^4*(1+4*(1-$D$43)+10*(1-$D$43)^2)+20*$D$43^3*(1-$D$43)^3*$D$43^2/(1-2*$D$43*(1-$D$43))))</f>
        <v>0.236153124520498</v>
      </c>
      <c r="T56" s="0" t="n">
        <f aca="false">T55*(1-($D$44^4*(1+4*(1-$D$44)+10*(1-$D$44)^2)+20*$D$44^3*(1-$D$44)^3*$D$44^2/(1-2*$D$44*(1-$D$44))))+S56*(1-(1-($D$44^4*(1+4*(1-$D$44)+10*(1-$D$44)^2)+20*$D$44^3*(1-$D$44)^3*$D$44^2/(1-2*$D$44*(1-$D$44)))))</f>
        <v>0.189351447714518</v>
      </c>
      <c r="U56" s="0" t="n">
        <f aca="false">U55*($D$43^4*(1+4*(1-$D$43)+10*(1-$D$43)^2)+20*$D$43^3*(1-$D$43)^3*$D$43^2/(1-2*$D$43*(1-$D$43)))+T56*(1-($D$43^4*(1+4*(1-$D$43)+10*(1-$D$43)^2)+20*$D$43^3*(1-$D$43)^3*$D$43^2/(1-2*$D$43*(1-$D$43))))</f>
        <v>0.0499215226782019</v>
      </c>
      <c r="V56" s="0" t="n">
        <f aca="false">V55*(1-($D$44^4*(1+4*(1-$D$44)+10*(1-$D$44)^2)+20*$D$44^3*(1-$D$44)^3*$D$44^2/(1-2*$D$44*(1-$D$44))))+U56*(1-(1-($D$44^4*(1+4*(1-$D$44)+10*(1-$D$44)^2)+20*$D$44^3*(1-$D$44)^3*$D$44^2/(1-2*$D$44*(1-$D$44)))))</f>
        <v>0.0396294492360885</v>
      </c>
      <c r="W56" s="0" t="n">
        <f aca="false">V56*(1-($D$43^4*(1+4*(1-$D$43)+10*(1-$D$43)^2)+20*$D$43^3*(1-$D$43)^3*$D$43^2/(1-2*$D$43*(1-$D$43))))</f>
        <v>0.00710406869502728</v>
      </c>
    </row>
    <row r="57" customFormat="false" ht="15" hidden="false" customHeight="false" outlineLevel="0" collapsed="false">
      <c r="H57" s="0" t="n">
        <f aca="false">H56*(1-$D$44)</f>
        <v>0.24415502133299</v>
      </c>
      <c r="I57" s="0" t="n">
        <f aca="false">I56*(1-$D$44)+H57*(1-(1-$D$44))</f>
        <v>0.354339448113774</v>
      </c>
      <c r="J57" s="0" t="n">
        <f aca="false">J56*$D$43+I57*(1-$D$43)</f>
        <v>0.394125260243183</v>
      </c>
      <c r="K57" s="0" t="n">
        <f aca="false">K56*$D$43+J57*(1-$D$43)</f>
        <v>0.292336138873846</v>
      </c>
      <c r="L57" s="0" t="n">
        <f aca="false">L56*(1-$D$44)+K57*(1-(1-$D$44))</f>
        <v>0.225309845240596</v>
      </c>
      <c r="M57" s="0" t="n">
        <f aca="false">M56*(1-$D$44)+L57*(1-(1-$D$44))</f>
        <v>0.169606440977423</v>
      </c>
      <c r="N57" s="0" t="n">
        <f aca="false">N56*$D$43+M57*(1-$D$43)</f>
        <v>0.0942186872516609</v>
      </c>
      <c r="Q57" s="0" t="n">
        <f aca="false">Q56*(1-($D$44^4*(1+4*(1-$D$44)+10*(1-$D$44)^2)+20*$D$44^3*(1-$D$44)^3*$D$44^2/(1-2*$D$44*(1-$D$44))))</f>
        <v>0.181925172657366</v>
      </c>
      <c r="R57" s="0" t="n">
        <f aca="false">R56*($D$43^4*(1+4*(1-$D$43)+10*(1-$D$43)^2)+20*$D$43^3*(1-$D$43)^3*$D$43^2/(1-2*$D$43*(1-$D$43)))+Q57*(1-($D$43^4*(1+4*(1-$D$43)+10*(1-$D$43)^2)+20*$D$43^3*(1-$D$43)^3*$D$43^2/(1-2*$D$43*(1-$D$43))))</f>
        <v>0.58952210568721</v>
      </c>
      <c r="S57" s="0" t="n">
        <f aca="false">S56*(1-($D$44^4*(1+4*(1-$D$44)+10*(1-$D$44)^2)+20*$D$44^3*(1-$D$44)^3*$D$44^2/(1-2*$D$44*(1-$D$44))))+R57*(1-(1-($D$44^4*(1+4*(1-$D$44)+10*(1-$D$44)^2)+20*$D$44^3*(1-$D$44)^3*$D$44^2/(1-2*$D$44*(1-$D$44)))))</f>
        <v>0.511194135853748</v>
      </c>
      <c r="T57" s="0" t="n">
        <f aca="false">T56*($D$43^4*(1+4*(1-$D$43)+10*(1-$D$43)^2)+20*$D$43^3*(1-$D$43)^3*$D$43^2/(1-2*$D$43*(1-$D$43)))+S57*(1-($D$43^4*(1+4*(1-$D$43)+10*(1-$D$43)^2)+20*$D$43^3*(1-$D$43)^3*$D$43^2/(1-2*$D$43*(1-$D$43))))</f>
        <v>0.247045728346893</v>
      </c>
      <c r="U57" s="0" t="n">
        <f aca="false">U56*(1-($D$44^4*(1+4*(1-$D$44)+10*(1-$D$44)^2)+20*$D$44^3*(1-$D$44)^3*$D$44^2/(1-2*$D$44*(1-$D$44))))+T57*(1-(1-($D$44^4*(1+4*(1-$D$44)+10*(1-$D$44)^2)+20*$D$44^3*(1-$D$44)^3*$D$44^2/(1-2*$D$44*(1-$D$44)))))</f>
        <v>0.203351064530948</v>
      </c>
      <c r="V57" s="0" t="n">
        <f aca="false">V56*($D$43^4*(1+4*(1-$D$43)+10*(1-$D$43)^2)+20*$D$43^3*(1-$D$43)^3*$D$43^2/(1-2*$D$43*(1-$D$43)))+U57*(1-($D$43^4*(1+4*(1-$D$43)+10*(1-$D$43)^2)+20*$D$43^3*(1-$D$43)^3*$D$43^2/(1-2*$D$43*(1-$D$43))))</f>
        <v>0.0689785727877816</v>
      </c>
      <c r="W57" s="0" t="n">
        <f aca="false">V57*(1-(1-($D$44^4*(1+4*(1-$D$44)+10*(1-$D$44)^2)+20*$D$44^3*(1-$D$44)^3*$D$44^2/(1-2*$D$44*(1-$D$44)))))</f>
        <v>0.0536887430165386</v>
      </c>
    </row>
    <row r="58" customFormat="false" ht="15" hidden="false" customHeight="false" outlineLevel="0" collapsed="false">
      <c r="H58" s="0" t="n">
        <f aca="false">H57*(1-$D$44)</f>
        <v>0.0924638085578576</v>
      </c>
      <c r="I58" s="0" t="n">
        <f aca="false">I57*$D$43+H58*(1-$D$43)</f>
        <v>0.26129576143766</v>
      </c>
      <c r="J58" s="0" t="n">
        <f aca="false">J57*$D$43+I58*(1-$D$43)</f>
        <v>0.346931308605817</v>
      </c>
      <c r="K58" s="0" t="n">
        <f aca="false">K57*(1-$D$44)+J58*(1-(1-$D$44))</f>
        <v>0.326255603085938</v>
      </c>
      <c r="L58" s="0" t="n">
        <f aca="false">L57*(1-$D$44)+K58*(1-(1-$D$44))</f>
        <v>0.288026492837947</v>
      </c>
      <c r="M58" s="0" t="n">
        <f aca="false">M57*$D$43+L58*(1-$D$43)</f>
        <v>0.211680756175905</v>
      </c>
      <c r="N58" s="0" t="n">
        <f aca="false">N57*$D$43+M58*(1-$D$43)</f>
        <v>0.135952633776236</v>
      </c>
      <c r="Q58" s="0" t="n">
        <f aca="false">Q57*($D$43^4*(1+4*(1-$D$43)+10*(1-$D$43)^2)+20*$D$43^3*(1-$D$43)^3*$D$43^2/(1-2*$D$43*(1-$D$43)))</f>
        <v>0.149312836406785</v>
      </c>
      <c r="R58" s="0" t="n">
        <f aca="false">R57*(1-($D$44^4*(1+4*(1-$D$44)+10*(1-$D$44)^2)+20*$D$44^3*(1-$D$44)^3*$D$44^2/(1-2*$D$44*(1-$D$44))))+Q58*(1-(1-($D$44^4*(1+4*(1-$D$44)+10*(1-$D$44)^2)+20*$D$44^3*(1-$D$44)^3*$D$44^2/(1-2*$D$44*(1-$D$44)))))</f>
        <v>0.246889874014226</v>
      </c>
      <c r="S58" s="0" t="n">
        <f aca="false">S57*($D$43^4*(1+4*(1-$D$43)+10*(1-$D$43)^2)+20*$D$43^3*(1-$D$43)^3*$D$43^2/(1-2*$D$43*(1-$D$43)))+R58*(1-($D$43^4*(1+4*(1-$D$43)+10*(1-$D$43)^2)+20*$D$43^3*(1-$D$43)^3*$D$43^2/(1-2*$D$43*(1-$D$43))))</f>
        <v>0.463814329454961</v>
      </c>
      <c r="T58" s="0" t="n">
        <f aca="false">T57*(1-($D$44^4*(1+4*(1-$D$44)+10*(1-$D$44)^2)+20*$D$44^3*(1-$D$44)^3*$D$44^2/(1-2*$D$44*(1-$D$44))))+S58*(1-(1-($D$44^4*(1+4*(1-$D$44)+10*(1-$D$44)^2)+20*$D$44^3*(1-$D$44)^3*$D$44^2/(1-2*$D$44*(1-$D$44)))))</f>
        <v>0.415765277745965</v>
      </c>
      <c r="U58" s="0" t="n">
        <f aca="false">U57*($D$43^4*(1+4*(1-$D$43)+10*(1-$D$43)^2)+20*$D$43^3*(1-$D$43)^3*$D$43^2/(1-2*$D$43*(1-$D$43)))+T58*(1-($D$43^4*(1+4*(1-$D$43)+10*(1-$D$43)^2)+20*$D$43^3*(1-$D$43)^3*$D$43^2/(1-2*$D$43*(1-$D$43))))</f>
        <v>0.241428938222553</v>
      </c>
      <c r="V58" s="0" t="n">
        <f aca="false">V57*(1-($D$44^4*(1+4*(1-$D$44)+10*(1-$D$44)^2)+20*$D$44^3*(1-$D$44)^3*$D$44^2/(1-2*$D$44*(1-$D$44))))+U58*(1-(1-($D$44^4*(1+4*(1-$D$44)+10*(1-$D$44)^2)+20*$D$44^3*(1-$D$44)^3*$D$44^2/(1-2*$D$44*(1-$D$44)))))</f>
        <v>0.203203491900281</v>
      </c>
      <c r="W58" s="0" t="n">
        <f aca="false">V58*(1-($D$43^4*(1+4*(1-$D$43)+10*(1-$D$43)^2)+20*$D$43^3*(1-$D$43)^3*$D$43^2/(1-2*$D$43*(1-$D$43))))</f>
        <v>0.0364267380283052</v>
      </c>
    </row>
    <row r="59" customFormat="false" ht="15" hidden="false" customHeight="false" outlineLevel="0" collapsed="false">
      <c r="H59" s="0" t="n">
        <f aca="false">H58*$D$43</f>
        <v>0.0596116744421127</v>
      </c>
      <c r="I59" s="0" t="n">
        <f aca="false">I58*$D$43+H59*(1-$D$43)</f>
        <v>0.189637966043656</v>
      </c>
      <c r="J59" s="0" t="n">
        <f aca="false">J58*(1-$D$44)+I59*(1-(1-$D$44))</f>
        <v>0.249206437888671</v>
      </c>
      <c r="K59" s="0" t="n">
        <f aca="false">K58*(1-$D$44)+J59*(1-(1-$D$44))</f>
        <v>0.278385683195391</v>
      </c>
      <c r="L59" s="0" t="n">
        <f aca="false">L58*$D$43+K59*(1-$D$43)</f>
        <v>0.284601139975011</v>
      </c>
      <c r="M59" s="0" t="n">
        <f aca="false">M58*$D$43+L59*(1-$D$43)</f>
        <v>0.237589165808857</v>
      </c>
      <c r="N59" s="0" t="n">
        <f aca="false">N58*(1-$D$44)+M59*(1-(1-$D$44))</f>
        <v>0.199098452863282</v>
      </c>
      <c r="Q59" s="0" t="n">
        <f aca="false">Q58*(1-($D$44^4*(1+4*(1-$D$44)+10*(1-$D$44)^2)+20*$D$44^3*(1-$D$44)^3*$D$44^2/(1-2*$D$44*(1-$D$44))))</f>
        <v>0.0330967684464123</v>
      </c>
      <c r="R59" s="0" t="n">
        <f aca="false">R58*($D$43^4*(1+4*(1-$D$43)+10*(1-$D$43)^2)+20*$D$43^3*(1-$D$43)^3*$D$43^2/(1-2*$D$43*(1-$D$43)))+Q59*(1-($D$43^4*(1+4*(1-$D$43)+10*(1-$D$43)^2)+20*$D$43^3*(1-$D$43)^3*$D$43^2/(1-2*$D$43*(1-$D$43))))</f>
        <v>0.208564816821812</v>
      </c>
      <c r="S59" s="0" t="n">
        <f aca="false">S58*(1-($D$44^4*(1+4*(1-$D$44)+10*(1-$D$44)^2)+20*$D$44^3*(1-$D$44)^3*$D$44^2/(1-2*$D$44*(1-$D$44))))+R59*(1-(1-($D$44^4*(1+4*(1-$D$44)+10*(1-$D$44)^2)+20*$D$44^3*(1-$D$44)^3*$D$44^2/(1-2*$D$44*(1-$D$44)))))</f>
        <v>0.265143569318774</v>
      </c>
      <c r="T59" s="0" t="n">
        <f aca="false">T58*($D$43^4*(1+4*(1-$D$43)+10*(1-$D$43)^2)+20*$D$43^3*(1-$D$43)^3*$D$43^2/(1-2*$D$43*(1-$D$43)))+S59*(1-($D$43^4*(1+4*(1-$D$43)+10*(1-$D$43)^2)+20*$D$43^3*(1-$D$43)^3*$D$43^2/(1-2*$D$43*(1-$D$43))))</f>
        <v>0.38876447444803</v>
      </c>
      <c r="U59" s="0" t="n">
        <f aca="false">U58*(1-($D$44^4*(1+4*(1-$D$44)+10*(1-$D$44)^2)+20*$D$44^3*(1-$D$44)^3*$D$44^2/(1-2*$D$44*(1-$D$44))))+T59*(1-(1-($D$44^4*(1+4*(1-$D$44)+10*(1-$D$44)^2)+20*$D$44^3*(1-$D$44)^3*$D$44^2/(1-2*$D$44*(1-$D$44)))))</f>
        <v>0.356105995487135</v>
      </c>
      <c r="V59" s="0" t="n">
        <f aca="false">V58*($D$43^4*(1+4*(1-$D$43)+10*(1-$D$43)^2)+20*$D$43^3*(1-$D$43)^3*$D$43^2/(1-2*$D$43*(1-$D$43)))+U59*(1-($D$43^4*(1+4*(1-$D$43)+10*(1-$D$43)^2)+20*$D$43^3*(1-$D$43)^3*$D$43^2/(1-2*$D$43*(1-$D$43))))</f>
        <v>0.230613155926938</v>
      </c>
      <c r="W59" s="0" t="n">
        <f aca="false">V59*(1-(1-($D$44^4*(1+4*(1-$D$44)+10*(1-$D$44)^2)+20*$D$44^3*(1-$D$44)^3*$D$44^2/(1-2*$D$44*(1-$D$44)))))</f>
        <v>0.179495312303526</v>
      </c>
    </row>
    <row r="60" customFormat="false" ht="15" hidden="false" customHeight="false" outlineLevel="0" collapsed="false">
      <c r="H60" s="0" t="n">
        <f aca="false">H59*$D$43</f>
        <v>0.0384318122432612</v>
      </c>
      <c r="I60" s="0" t="n">
        <f aca="false">I59*(1-$D$44)+H60*(1-(1-$D$44))</f>
        <v>0.0956950083120475</v>
      </c>
      <c r="J60" s="0" t="n">
        <f aca="false">J59*(1-$D$44)+I60*(1-(1-$D$44))</f>
        <v>0.153831234052239</v>
      </c>
      <c r="K60" s="0" t="n">
        <f aca="false">K59*$D$43+J60*(1-$D$43)</f>
        <v>0.234131833697042</v>
      </c>
      <c r="L60" s="0" t="n">
        <f aca="false">L59*$D$43+K60*(1-$D$43)</f>
        <v>0.266669535767566</v>
      </c>
      <c r="M60" s="0" t="n">
        <f aca="false">M59*(1-$D$44)+L60*(1-(1-$D$44))</f>
        <v>0.25565652548429</v>
      </c>
      <c r="N60" s="0" t="n">
        <f aca="false">N59*(1-$D$44)+M60*(1-(1-$D$44))</f>
        <v>0.234237450133397</v>
      </c>
      <c r="Q60" s="0" t="n">
        <f aca="false">Q59*($D$43^4*(1+4*(1-$D$43)+10*(1-$D$43)^2)+20*$D$43^3*(1-$D$43)^3*$D$43^2/(1-2*$D$43*(1-$D$43)))</f>
        <v>0.0271637635432654</v>
      </c>
      <c r="R60" s="0" t="n">
        <f aca="false">R59*(1-($D$44^4*(1+4*(1-$D$44)+10*(1-$D$44)^2)+20*$D$44^3*(1-$D$44)^3*$D$44^2/(1-2*$D$44*(1-$D$44))))+Q60*(1-(1-($D$44^4*(1+4*(1-$D$44)+10*(1-$D$44)^2)+20*$D$44^3*(1-$D$44)^3*$D$44^2/(1-2*$D$44*(1-$D$44)))))</f>
        <v>0.06737322443609</v>
      </c>
      <c r="S60" s="0" t="n">
        <f aca="false">S59*($D$43^4*(1+4*(1-$D$43)+10*(1-$D$43)^2)+20*$D$43^3*(1-$D$43)^3*$D$43^2/(1-2*$D$43*(1-$D$43)))+R60*(1-($D$43^4*(1+4*(1-$D$43)+10*(1-$D$43)^2)+20*$D$43^3*(1-$D$43)^3*$D$43^2/(1-2*$D$43*(1-$D$43))))</f>
        <v>0.229690790060707</v>
      </c>
      <c r="T60" s="0" t="n">
        <f aca="false">T59*(1-($D$44^4*(1+4*(1-$D$44)+10*(1-$D$44)^2)+20*$D$44^3*(1-$D$44)^3*$D$44^2/(1-2*$D$44*(1-$D$44))))+S60*(1-(1-($D$44^4*(1+4*(1-$D$44)+10*(1-$D$44)^2)+20*$D$44^3*(1-$D$44)^3*$D$44^2/(1-2*$D$44*(1-$D$44)))))</f>
        <v>0.264951153635487</v>
      </c>
      <c r="U60" s="0" t="n">
        <f aca="false">U59*($D$43^4*(1+4*(1-$D$43)+10*(1-$D$43)^2)+20*$D$43^3*(1-$D$43)^3*$D$43^2/(1-2*$D$43*(1-$D$43)))+T60*(1-($D$43^4*(1+4*(1-$D$43)+10*(1-$D$43)^2)+20*$D$43^3*(1-$D$43)^3*$D$43^2/(1-2*$D$43*(1-$D$43))))</f>
        <v>0.339765363182592</v>
      </c>
      <c r="V60" s="0" t="n">
        <f aca="false">V59*(1-($D$44^4*(1+4*(1-$D$44)+10*(1-$D$44)^2)+20*$D$44^3*(1-$D$44)^3*$D$44^2/(1-2*$D$44*(1-$D$44))))+U60*(1-(1-($D$44^4*(1+4*(1-$D$44)+10*(1-$D$44)^2)+20*$D$44^3*(1-$D$44)^3*$D$44^2/(1-2*$D$44*(1-$D$44)))))</f>
        <v>0.315570622690803</v>
      </c>
      <c r="W60" s="0" t="n">
        <f aca="false">V60*(1-($D$43^4*(1+4*(1-$D$43)+10*(1-$D$43)^2)+20*$D$43^3*(1-$D$43)^3*$D$43^2/(1-2*$D$43*(1-$D$43))))</f>
        <v>0.0565699353622729</v>
      </c>
    </row>
    <row r="61" customFormat="false" ht="15" hidden="false" customHeight="false" outlineLevel="0" collapsed="false">
      <c r="H61" s="0" t="n">
        <f aca="false">H60*(1-$D$44)</f>
        <v>0.0145544896451093</v>
      </c>
      <c r="I61" s="0" t="n">
        <f aca="false">I60*(1-$D$44)+H61*(1-(1-$D$44))</f>
        <v>0.0452831690855076</v>
      </c>
      <c r="J61" s="0" t="n">
        <f aca="false">J60*$D$43+I61*(1-$D$43)</f>
        <v>0.115264408351346</v>
      </c>
      <c r="K61" s="0" t="n">
        <f aca="false">K60*$D$43+J61*(1-$D$43)</f>
        <v>0.191898567943052</v>
      </c>
      <c r="L61" s="0" t="n">
        <f aca="false">L60*(1-$D$44)+K61*(1-(1-$D$44))</f>
        <v>0.220215038425068</v>
      </c>
      <c r="M61" s="0" t="n">
        <f aca="false">M60*(1-$D$44)+L61*(1-(1-$D$44))</f>
        <v>0.233637063729148</v>
      </c>
      <c r="N61" s="0" t="n">
        <f aca="false">N60*$D$43+M61*(1-$D$43)</f>
        <v>0.234024134513142</v>
      </c>
      <c r="Q61" s="0" t="n">
        <f aca="false">Q60*(1-($D$44^4*(1+4*(1-$D$44)+10*(1-$D$44)^2)+20*$D$44^3*(1-$D$44)^3*$D$44^2/(1-2*$D$44*(1-$D$44))))</f>
        <v>0.0060211353140144</v>
      </c>
      <c r="R61" s="0" t="n">
        <f aca="false">R60*($D$43^4*(1+4*(1-$D$43)+10*(1-$D$43)^2)+20*$D$43^3*(1-$D$43)^3*$D$43^2/(1-2*$D$43*(1-$D$43)))</f>
        <v>0.0552957410537669</v>
      </c>
      <c r="S61" s="0" t="n">
        <f aca="false">S60*(1-($D$44^4*(1+4*(1-$D$44)+10*(1-$D$44)^2)+20*$D$44^3*(1-$D$44)^3*$D$44^2/(1-2*$D$44*(1-$D$44))))</f>
        <v>0.0509133914796307</v>
      </c>
      <c r="T61" s="0" t="n">
        <f aca="false">T60*($D$43^4*(1+4*(1-$D$43)+10*(1-$D$43)^2)+20*$D$43^3*(1-$D$43)^3*$D$43^2/(1-2*$D$43*(1-$D$43)))</f>
        <v>0.217455383885067</v>
      </c>
      <c r="U61" s="0" t="n">
        <f aca="false">U60*(1-($D$44^4*(1+4*(1-$D$44)+10*(1-$D$44)^2)+20*$D$44^3*(1-$D$44)^3*$D$44^2/(1-2*$D$44*(1-$D$44))))</f>
        <v>0.0753125841152022</v>
      </c>
      <c r="V61" s="0" t="n">
        <f aca="false">V60*($D$43^4*(1+4*(1-$D$43)+10*(1-$D$43)^2)+20*$D$43^3*(1-$D$43)^3*$D$43^2/(1-2*$D$43*(1-$D$43)))</f>
        <v>0.25900068732853</v>
      </c>
      <c r="W61" s="0" t="n">
        <f aca="false">W60*(1-($D$44^4*(1+4*(1-$D$44)+10*(1-$D$44)^2)+20*$D$44^3*(1-$D$44)^3*$D$44^2/(1-2*$D$44*(1-$D$44))))+V61*(1-(1-($D$44^4*(1+4*(1-$D$44)+10*(1-$D$44)^2)+20*$D$44^3*(1-$D$44)^3*$D$44^2/(1-2*$D$44*(1-$D$44)))))</f>
        <v>0.214129771434819</v>
      </c>
    </row>
    <row r="62" customFormat="false" ht="15" hidden="false" customHeight="false" outlineLevel="0" collapsed="false">
      <c r="G62" s="0" t="s">
        <v>22</v>
      </c>
      <c r="H62" s="0" t="n">
        <f aca="false">H61*(1-$D$44)+I61*$D$43+J61*$D$43+K61*(1-$D$44)+L61*(1-$D$44)+M61*$D$43+N61*($D$43*(1-$D$44))/(($D$43*(1-$D$44))+((1-$D$43)*$D$44))</f>
        <v>0.538619948077904</v>
      </c>
      <c r="P62" s="0" t="s">
        <v>23</v>
      </c>
      <c r="Q62" s="0" t="n">
        <f aca="false">Q61+R61+S61+T61+U61+V61*(1-($D$44^4*(1+4*(1-$D$44)+10*(1-$D$44)^2)+20*$D$44^3*(1-$D$44)^3*$D$44^2/(1-2*$D$44*(1-$D$44))))+W61*H62</f>
        <v>0.577743042238453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77</v>
      </c>
    </row>
    <row r="2" customFormat="false" ht="15" hidden="false" customHeight="false" outlineLevel="0" collapsed="false">
      <c r="G2" s="3" t="s">
        <v>9</v>
      </c>
    </row>
    <row r="3" customFormat="false" ht="15" hidden="false" customHeight="false" outlineLevel="0" collapsed="false">
      <c r="A3" s="3" t="s">
        <v>10</v>
      </c>
    </row>
    <row r="4" customFormat="false" ht="15" hidden="false" customHeight="false" outlineLevel="0" collapsed="false">
      <c r="A4" s="0" t="s">
        <v>78</v>
      </c>
      <c r="B4" s="4" t="n">
        <v>0.670931447249404</v>
      </c>
      <c r="G4" s="3" t="s">
        <v>12</v>
      </c>
      <c r="P4" s="3" t="s">
        <v>13</v>
      </c>
    </row>
    <row r="5" customFormat="false" ht="15" hidden="false" customHeight="false" outlineLevel="0" collapsed="false">
      <c r="A5" s="0" t="s">
        <v>79</v>
      </c>
      <c r="B5" s="4" t="n">
        <v>0.636126560331052</v>
      </c>
      <c r="H5" s="0" t="n">
        <v>1</v>
      </c>
      <c r="I5" s="5" t="n">
        <f aca="false">H5*(1-$B$41)</f>
        <v>0.322909510269361</v>
      </c>
      <c r="J5" s="5" t="n">
        <f aca="false">I5*(1-(1-$B$42))</f>
        <v>0.211504189231645</v>
      </c>
      <c r="K5" s="5" t="n">
        <f aca="false">J5*(1-(1-$B$42))</f>
        <v>0.138534235257486</v>
      </c>
      <c r="L5" s="5" t="n">
        <f aca="false">K5*(1-$B$41)</f>
        <v>0.0447340220625353</v>
      </c>
      <c r="M5" s="5" t="n">
        <f aca="false">L5*(1-$B$41)</f>
        <v>0.0144450411565921</v>
      </c>
      <c r="N5" s="5" t="n">
        <f aca="false">M5*(1-(1-$B$42))</f>
        <v>0.00946143306740703</v>
      </c>
      <c r="Q5" s="0" t="n">
        <v>1</v>
      </c>
      <c r="R5" s="5" t="n">
        <f aca="false">Q5*(1-($B$41^4*(1+4*(1-$B$41)+10*(1-$B$41)^2)+20*$B$41^3*(1-$B$41)^3*$B$41^2/(1-2*$B$41*(1-$B$41))))</f>
        <v>0.128895978087366</v>
      </c>
      <c r="S5" s="5" t="n">
        <f aca="false">R5*(1-(1-($B$42^4*(1+4*(1-$B$42)+10*(1-$B$42)^2)+20*$B$42^3*(1-$B$42)^3*$B$42^2/(1-2*$B$42*(1-$B$42)))))</f>
        <v>0.107989837441435</v>
      </c>
      <c r="T5" s="5" t="n">
        <f aca="false">S5*(1-($B$41^4*(1+4*(1-$B$41)+10*(1-$B$41)^2)+20*$B$41^3*(1-$B$41)^3*$B$41^2/(1-2*$B$41*(1-$B$41))))</f>
        <v>0.0139194557205093</v>
      </c>
      <c r="U5" s="5" t="n">
        <f aca="false">T5*(1-(1-($B$42^4*(1+4*(1-$B$42)+10*(1-$B$42)^2)+20*$B$42^3*(1-$B$42)^3*$B$42^2/(1-2*$B$42*(1-$B$42)))))</f>
        <v>0.0116618049906275</v>
      </c>
      <c r="V5" s="5" t="n">
        <f aca="false">U5*(1-($B$41^4*(1+4*(1-$B$41)+10*(1-$B$41)^2)+20*$B$41^3*(1-$B$41)^3*$B$41^2/(1-2*$B$41*(1-$B$41))))</f>
        <v>0.00150315976053105</v>
      </c>
      <c r="W5" s="5" t="n">
        <f aca="false">V5*(1-(1-($B$42^4*(1+4*(1-$B$42)+10*(1-$B$42)^2)+20*$B$42^3*(1-$B$42)^3*$B$42^2/(1-2*$B$42*(1-$B$42)))))</f>
        <v>0.00125935642521157</v>
      </c>
    </row>
    <row r="6" customFormat="false" ht="15" hidden="false" customHeight="false" outlineLevel="0" collapsed="false">
      <c r="A6" s="0" t="s">
        <v>15</v>
      </c>
      <c r="B6" s="4" t="n">
        <v>0.01</v>
      </c>
      <c r="H6" s="5" t="n">
        <f aca="false">H5*$B$41</f>
        <v>0.677090489730639</v>
      </c>
      <c r="I6" s="5" t="n">
        <f aca="false">I5*(1-$B$42)+H6*(1-(1-$B$42))</f>
        <v>0.554896362684266</v>
      </c>
      <c r="J6" s="5" t="n">
        <f aca="false">J5*(1-$B$42)+I6*(1-(1-$B$42))</f>
        <v>0.436424425164009</v>
      </c>
      <c r="K6" s="5" t="n">
        <f aca="false">K5*$B$41+J6*(1-$B$41)</f>
        <v>0.234725810594248</v>
      </c>
      <c r="L6" s="5" t="n">
        <f aca="false">L5*$B$41+K6*(1-$B$41)</f>
        <v>0.106084177452511</v>
      </c>
      <c r="M6" s="5" t="n">
        <f aca="false">M5*(1-$B$42)+L6*(1-(1-$B$42))</f>
        <v>0.0744682383922156</v>
      </c>
      <c r="N6" s="5" t="n">
        <f aca="false">N5*(1-$B$42)+M6*(1-(1-$B$42))</f>
        <v>0.0520405805297838</v>
      </c>
      <c r="Q6" s="5" t="n">
        <f aca="false">Q5*($B$41^4*(1+4*(1-$B$41)+10*(1-$B$41)^2)+20*$B$41^3*(1-$B$41)^3*$B$41^2/(1-2*$B$41*(1-$B$41)))</f>
        <v>0.871104021912634</v>
      </c>
      <c r="R6" s="5" t="n">
        <f aca="false">R5*(1-($B$42^4*(1+4*(1-$B$42)+10*(1-$B$42)^2)+20*$B$42^3*(1-$B$42)^3*$B$42^2/(1-2*$B$42*(1-$B$42))))+Q6*(1-(1-($B$42^4*(1+4*(1-$B$42)+10*(1-$B$42)^2)+20*$B$42^3*(1-$B$42)^3*$B$42^2/(1-2*$B$42*(1-$B$42)))))</f>
        <v>0.750722408901908</v>
      </c>
      <c r="S6" s="5" t="n">
        <f aca="false">S5*($B$41^4*(1+4*(1-$B$41)+10*(1-$B$41)^2)+20*$B$41^3*(1-$B$41)^3*$B$41^2/(1-2*$B$41*(1-$B$41)))+R6*(1-($B$41^4*(1+4*(1-$B$41)+10*(1-$B$41)^2)+20*$B$41^3*(1-$B$41)^3*$B$41^2/(1-2*$B$41*(1-$B$41))))</f>
        <v>0.19083548088844</v>
      </c>
      <c r="T6" s="5" t="n">
        <f aca="false">T5*(1-($B$42^4*(1+4*(1-$B$42)+10*(1-$B$42)^2)+20*$B$42^3*(1-$B$42)^3*$B$42^2/(1-2*$B$42*(1-$B$42))))+S6*(1-(1-($B$42^4*(1+4*(1-$B$42)+10*(1-$B$42)^2)+20*$B$42^3*(1-$B$42)^3*$B$42^2/(1-2*$B$42*(1-$B$42)))))</f>
        <v>0.162140781801919</v>
      </c>
      <c r="U6" s="5" t="n">
        <f aca="false">U5*($B$41^4*(1+4*(1-$B$41)+10*(1-$B$41)^2)+20*$B$41^3*(1-$B$41)^3*$B$41^2/(1-2*$B$41*(1-$B$41)))+T6*(1-($B$41^4*(1+4*(1-$B$41)+10*(1-$B$41)^2)+20*$B$41^3*(1-$B$41)^3*$B$41^2/(1-2*$B$41*(1-$B$41))))</f>
        <v>0.0310579398883049</v>
      </c>
      <c r="V6" s="5" t="n">
        <f aca="false">V5*(1-($B$42^4*(1+4*(1-$B$42)+10*(1-$B$42)^2)+20*$B$42^3*(1-$B$42)^3*$B$42^2/(1-2*$B$42*(1-$B$42))))+U6*(1-(1-($B$42^4*(1+4*(1-$B$42)+10*(1-$B$42)^2)+20*$B$42^3*(1-$B$42)^3*$B$42^2/(1-2*$B$42*(1-$B$42)))))</f>
        <v>0.0262643350041245</v>
      </c>
      <c r="W6" s="5" t="n">
        <f aca="false">V6*(1-($B$41^4*(1+4*(1-$B$41)+10*(1-$B$41)^2)+20*$B$41^3*(1-$B$41)^3*$B$41^2/(1-2*$B$41*(1-$B$41))))</f>
        <v>0.00338536714917086</v>
      </c>
    </row>
    <row r="7" customFormat="false" ht="15" hidden="false" customHeight="false" outlineLevel="0" collapsed="false">
      <c r="A7" s="0" t="s">
        <v>80</v>
      </c>
      <c r="B7" s="4" t="n">
        <v>0.0218773821556206</v>
      </c>
      <c r="H7" s="5" t="n">
        <f aca="false">H6*(1-$B$42)</f>
        <v>0.23359944808409</v>
      </c>
      <c r="I7" s="5" t="n">
        <f aca="false">I6*(1-$B$42)+H7*(1-(1-$B$42))</f>
        <v>0.344448415925272</v>
      </c>
      <c r="J7" s="5" t="n">
        <f aca="false">J6*$B$41+I7*(1-$B$41)</f>
        <v>0.406724497064198</v>
      </c>
      <c r="K7" s="5" t="n">
        <f aca="false">K6*$B$41+J7*(1-$B$41)</f>
        <v>0.290265822209233</v>
      </c>
      <c r="L7" s="5" t="n">
        <f aca="false">L6*(1-$B$42)+K7*(1-(1-$B$42))</f>
        <v>0.226722276383466</v>
      </c>
      <c r="M7" s="5" t="n">
        <f aca="false">M6*(1-$B$42)+L7*(1-(1-$B$42))</f>
        <v>0.174193907158432</v>
      </c>
      <c r="N7" s="5" t="n">
        <f aca="false">N6*$B$41+M7*(1-$B$41)</f>
        <v>0.0914850514092137</v>
      </c>
      <c r="Q7" s="5" t="n">
        <f aca="false">Q6*(1-($B$42^4*(1+4*(1-$B$42)+10*(1-$B$42)^2)+20*$B$42^3*(1-$B$42)^3*$B$42^2/(1-2*$B$42*(1-$B$42))))</f>
        <v>0.141287753656658</v>
      </c>
      <c r="R7" s="5" t="n">
        <f aca="false">R6*($B$41^4*(1+4*(1-$B$41)+10*(1-$B$41)^2)+20*$B$41^3*(1-$B$41)^3*$B$41^2/(1-2*$B$41*(1-$B$41)))+Q7*(1-($B$41^4*(1+4*(1-$B$41)+10*(1-$B$41)^2)+20*$B$41^3*(1-$B$41)^3*$B$41^2/(1-2*$B$41*(1-$B$41))))</f>
        <v>0.672168732933735</v>
      </c>
      <c r="S7" s="5" t="n">
        <f aca="false">S6*(1-($B$42^4*(1+4*(1-$B$42)+10*(1-$B$42)^2)+20*$B$42^3*(1-$B$42)^3*$B$42^2/(1-2*$B$42*(1-$B$42))))+R7*(1-(1-($B$42^4*(1+4*(1-$B$42)+10*(1-$B$42)^2)+20*$B$42^3*(1-$B$42)^3*$B$42^2/(1-2*$B$42*(1-$B$42)))))</f>
        <v>0.594099418327179</v>
      </c>
      <c r="T7" s="5" t="n">
        <f aca="false">T6*($B$41^4*(1+4*(1-$B$41)+10*(1-$B$41)^2)+20*$B$41^3*(1-$B$41)^3*$B$41^2/(1-2*$B$41*(1-$B$41)))+S7*(1-($B$41^4*(1+4*(1-$B$41)+10*(1-$B$41)^2)+20*$B$41^3*(1-$B$41)^3*$B$41^2/(1-2*$B$41*(1-$B$41))))</f>
        <v>0.217818512750127</v>
      </c>
      <c r="U7" s="5" t="n">
        <f aca="false">U6*(1-($B$42^4*(1+4*(1-$B$42)+10*(1-$B$42)^2)+20*$B$42^3*(1-$B$42)^3*$B$42^2/(1-2*$B$42*(1-$B$42))))+T7*(1-(1-($B$42^4*(1+4*(1-$B$42)+10*(1-$B$42)^2)+20*$B$42^3*(1-$B$42)^3*$B$42^2/(1-2*$B$42*(1-$B$42)))))</f>
        <v>0.187527088135486</v>
      </c>
      <c r="V7" s="5" t="n">
        <f aca="false">V6*($B$41^4*(1+4*(1-$B$41)+10*(1-$B$41)^2)+20*$B$41^3*(1-$B$41)^3*$B$41^2/(1-2*$B$41*(1-$B$41)))+U7*(1-($B$41^4*(1+4*(1-$B$41)+10*(1-$B$41)^2)+20*$B$41^3*(1-$B$41)^3*$B$41^2/(1-2*$B$41*(1-$B$41))))</f>
        <v>0.0470504552980527</v>
      </c>
      <c r="W7" s="5" t="n">
        <f aca="false">V7*(1-(1-($B$42^4*(1+4*(1-$B$42)+10*(1-$B$42)^2)+20*$B$42^3*(1-$B$42)^3*$B$42^2/(1-2*$B$42*(1-$B$42)))))</f>
        <v>0.0394191587245517</v>
      </c>
    </row>
    <row r="8" customFormat="false" ht="15" hidden="false" customHeight="false" outlineLevel="0" collapsed="false">
      <c r="A8" s="0" t="s">
        <v>81</v>
      </c>
      <c r="B8" s="4" t="n">
        <v>-0.0212435322314447</v>
      </c>
      <c r="H8" s="5" t="n">
        <f aca="false">H7*(1-$B$42)</f>
        <v>0.0805929236532329</v>
      </c>
      <c r="I8" s="5" t="n">
        <f aca="false">I7*$B$41+H8*(1-$B$41)</f>
        <v>0.259246968133827</v>
      </c>
      <c r="J8" s="5" t="n">
        <f aca="false">J7*$B$41+I8*(1-$B$41)</f>
        <v>0.359102600421556</v>
      </c>
      <c r="K8" s="5" t="n">
        <f aca="false">K7*(1-$B$42)+J8*(1-(1-$B$42))</f>
        <v>0.335353583647325</v>
      </c>
      <c r="L8" s="5" t="n">
        <f aca="false">L7*(1-$B$42)+K8*(1-(1-$B$42))</f>
        <v>0.297875264565357</v>
      </c>
      <c r="M8" s="5" t="n">
        <f aca="false">M7*$B$41+L8*(1-$B$41)</f>
        <v>0.214131793708152</v>
      </c>
      <c r="N8" s="5" t="n">
        <f aca="false">N7*$B$41+M8*(1-$B$41)</f>
        <v>0.131088850901096</v>
      </c>
      <c r="Q8" s="5" t="n">
        <f aca="false">Q7*($B$41^4*(1+4*(1-$B$41)+10*(1-$B$41)^2)+20*$B$41^3*(1-$B$41)^3*$B$41^2/(1-2*$B$41*(1-$B$41)))</f>
        <v>0.123076330457316</v>
      </c>
      <c r="R8" s="5" t="n">
        <f aca="false">R7*(1-($B$42^4*(1+4*(1-$B$42)+10*(1-$B$42)^2)+20*$B$42^3*(1-$B$42)^3*$B$42^2/(1-2*$B$42*(1-$B$42))))+Q8*(1-(1-($B$42^4*(1+4*(1-$B$42)+10*(1-$B$42)^2)+20*$B$42^3*(1-$B$42)^3*$B$42^2/(1-2*$B$42*(1-$B$42)))))</f>
        <v>0.212135765546931</v>
      </c>
      <c r="S8" s="5" t="n">
        <f aca="false">S7*($B$41^4*(1+4*(1-$B$41)+10*(1-$B$41)^2)+20*$B$41^3*(1-$B$41)^3*$B$41^2/(1-2*$B$41*(1-$B$41)))+R8*(1-($B$41^4*(1+4*(1-$B$41)+10*(1-$B$41)^2)+20*$B$41^3*(1-$B$41)^3*$B$41^2/(1-2*$B$41*(1-$B$41))))</f>
        <v>0.544865839708246</v>
      </c>
      <c r="T8" s="5" t="n">
        <f aca="false">T7*(1-($B$42^4*(1+4*(1-$B$42)+10*(1-$B$42)^2)+20*$B$42^3*(1-$B$42)^3*$B$42^2/(1-2*$B$42*(1-$B$42))))+S8*(1-(1-($B$42^4*(1+4*(1-$B$42)+10*(1-$B$42)^2)+20*$B$42^3*(1-$B$42)^3*$B$42^2/(1-2*$B$42*(1-$B$42)))))</f>
        <v>0.491820760127657</v>
      </c>
      <c r="U8" s="5" t="n">
        <f aca="false">U7*($B$41^4*(1+4*(1-$B$41)+10*(1-$B$41)^2)+20*$B$41^3*(1-$B$41)^3*$B$41^2/(1-2*$B$41*(1-$B$41)))+T8*(1-($B$41^4*(1+4*(1-$B$41)+10*(1-$B$41)^2)+20*$B$41^3*(1-$B$41)^3*$B$41^2/(1-2*$B$41*(1-$B$41))))</f>
        <v>0.226749318612713</v>
      </c>
      <c r="V8" s="5" t="n">
        <f aca="false">V7*(1-($B$42^4*(1+4*(1-$B$42)+10*(1-$B$42)^2)+20*$B$42^3*(1-$B$42)^3*$B$42^2/(1-2*$B$42*(1-$B$42))))+U8*(1-(1-($B$42^4*(1+4*(1-$B$42)+10*(1-$B$42)^2)+20*$B$42^3*(1-$B$42)^3*$B$42^2/(1-2*$B$42*(1-$B$42)))))</f>
        <v>0.197603260169959</v>
      </c>
      <c r="W8" s="5" t="n">
        <f aca="false">V8*(1-($B$41^4*(1+4*(1-$B$41)+10*(1-$B$41)^2)+20*$B$41^3*(1-$B$41)^3*$B$41^2/(1-2*$B$41*(1-$B$41))))</f>
        <v>0.0254702654928591</v>
      </c>
    </row>
    <row r="9" customFormat="false" ht="15" hidden="false" customHeight="false" outlineLevel="0" collapsed="false">
      <c r="A9" s="0" t="s">
        <v>82</v>
      </c>
      <c r="B9" s="4" t="n">
        <v>0.0861766832386902</v>
      </c>
      <c r="H9" s="5" t="n">
        <f aca="false">H8*$B$41</f>
        <v>0.0545687021451915</v>
      </c>
      <c r="I9" s="5" t="n">
        <f aca="false">I8*$B$41+H9*(1-$B$41)</f>
        <v>0.193154409500655</v>
      </c>
      <c r="J9" s="5" t="n">
        <f aca="false">J8*(1-$B$42)+I9*(1-(1-$B$42))</f>
        <v>0.250407326795502</v>
      </c>
      <c r="K9" s="5" t="n">
        <f aca="false">K8*(1-$B$42)+J9*(1-(1-$B$42))</f>
        <v>0.279714190528427</v>
      </c>
      <c r="L9" s="5" t="n">
        <f aca="false">L8*$B$41+K9*(1-$B$41)</f>
        <v>0.292010881042126</v>
      </c>
      <c r="M9" s="5" t="n">
        <f aca="false">M8*$B$41+L9*(1-$B$41)</f>
        <v>0.23927969165939</v>
      </c>
      <c r="N9" s="5" t="n">
        <f aca="false">N8*(1-$B$42)+M9*(1-(1-$B$42))</f>
        <v>0.201953335622481</v>
      </c>
      <c r="Q9" s="5" t="n">
        <f aca="false">Q8*(1-($B$42^4*(1+4*(1-$B$42)+10*(1-$B$42)^2)+20*$B$42^3*(1-$B$42)^3*$B$42^2/(1-2*$B$42*(1-$B$42))))</f>
        <v>0.0199622293333443</v>
      </c>
      <c r="R9" s="5" t="n">
        <f aca="false">R8*($B$41^4*(1+4*(1-$B$41)+10*(1-$B$41)^2)+20*$B$41^3*(1-$B$41)^3*$B$41^2/(1-2*$B$41*(1-$B$41)))+Q9*(1-($B$41^4*(1+4*(1-$B$41)+10*(1-$B$41)^2)+20*$B$41^3*(1-$B$41)^3*$B$41^2/(1-2*$B$41*(1-$B$41))))</f>
        <v>0.187365369634173</v>
      </c>
      <c r="S9" s="5" t="n">
        <f aca="false">S8*(1-($B$42^4*(1+4*(1-$B$42)+10*(1-$B$42)^2)+20*$B$42^3*(1-$B$42)^3*$B$42^2/(1-2*$B$42*(1-$B$42))))+R9*(1-(1-($B$42^4*(1+4*(1-$B$42)+10*(1-$B$42)^2)+20*$B$42^3*(1-$B$42)^3*$B$42^2/(1-2*$B$42*(1-$B$42)))))</f>
        <v>0.245349763090493</v>
      </c>
      <c r="T9" s="5" t="n">
        <f aca="false">T8*($B$41^4*(1+4*(1-$B$41)+10*(1-$B$41)^2)+20*$B$41^3*(1-$B$41)^3*$B$41^2/(1-2*$B$41*(1-$B$41)))+S9*(1-($B$41^4*(1+4*(1-$B$41)+10*(1-$B$41)^2)+20*$B$41^3*(1-$B$41)^3*$B$41^2/(1-2*$B$41*(1-$B$41))))</f>
        <v>0.460051639894383</v>
      </c>
      <c r="U9" s="5" t="n">
        <f aca="false">U8*(1-($B$42^4*(1+4*(1-$B$42)+10*(1-$B$42)^2)+20*$B$42^3*(1-$B$42)^3*$B$42^2/(1-2*$B$42*(1-$B$42))))+T9*(1-(1-($B$42^4*(1+4*(1-$B$42)+10*(1-$B$42)^2)+20*$B$42^3*(1-$B$42)^3*$B$42^2/(1-2*$B$42*(1-$B$42)))))</f>
        <v>0.422211427855876</v>
      </c>
      <c r="V9" s="5" t="n">
        <f aca="false">V8*($B$41^4*(1+4*(1-$B$41)+10*(1-$B$41)^2)+20*$B$41^3*(1-$B$41)^3*$B$41^2/(1-2*$B$41*(1-$B$41)))+U9*(1-($B$41^4*(1+4*(1-$B$41)+10*(1-$B$41)^2)+20*$B$41^3*(1-$B$41)^3*$B$41^2/(1-2*$B$41*(1-$B$41))))</f>
        <v>0.226554349630247</v>
      </c>
      <c r="W9" s="5" t="n">
        <f aca="false">V9*(1-(1-($B$42^4*(1+4*(1-$B$42)+10*(1-$B$42)^2)+20*$B$42^3*(1-$B$42)^3*$B$42^2/(1-2*$B$42*(1-$B$42)))))</f>
        <v>0.189808617392527</v>
      </c>
    </row>
    <row r="10" customFormat="false" ht="15" hidden="false" customHeight="false" outlineLevel="0" collapsed="false">
      <c r="A10" s="0" t="s">
        <v>83</v>
      </c>
      <c r="B10" s="4" t="n">
        <v>-0.030586126283276</v>
      </c>
      <c r="H10" s="5" t="n">
        <f aca="false">H9*$B$41</f>
        <v>0.0369479492594531</v>
      </c>
      <c r="I10" s="5" t="n">
        <f aca="false">I9*(1-$B$42)+H10*(1-(1-$B$42))</f>
        <v>0.0908399230103034</v>
      </c>
      <c r="J10" s="5" t="n">
        <f aca="false">J9*(1-$B$42)+I10*(1-(1-$B$42))</f>
        <v>0.145891438312582</v>
      </c>
      <c r="K10" s="5" t="n">
        <f aca="false">K9*$B$41+J10*(1-$B$41)</f>
        <v>0.23650155114751</v>
      </c>
      <c r="L10" s="5" t="n">
        <f aca="false">L9*$B$41+K10*(1-$B$41)</f>
        <v>0.274086390510475</v>
      </c>
      <c r="M10" s="5" t="n">
        <f aca="false">M9*(1-$B$42)+L10*(1-(1-$B$42))</f>
        <v>0.262077913409464</v>
      </c>
      <c r="N10" s="5" t="n">
        <f aca="false">N9*(1-$B$42)+M10*(1-(1-$B$42))</f>
        <v>0.24133464733152</v>
      </c>
      <c r="Q10" s="5" t="n">
        <f aca="false">Q9*($B$41^4*(1+4*(1-$B$41)+10*(1-$B$41)^2)+20*$B$41^3*(1-$B$41)^3*$B$41^2/(1-2*$B$41*(1-$B$41)))</f>
        <v>0.0173891782586186</v>
      </c>
      <c r="R10" s="5" t="n">
        <f aca="false">R9*(1-($B$42^4*(1+4*(1-$B$42)+10*(1-$B$42)^2)+20*$B$42^3*(1-$B$42)^3*$B$42^2/(1-2*$B$42*(1-$B$42))))+Q10*(1-(1-($B$42^4*(1+4*(1-$B$42)+10*(1-$B$42)^2)+20*$B$42^3*(1-$B$42)^3*$B$42^2/(1-2*$B$42*(1-$B$42)))))</f>
        <v>0.0449582786765418</v>
      </c>
      <c r="S10" s="5" t="n">
        <f aca="false">S9*($B$41^4*(1+4*(1-$B$41)+10*(1-$B$41)^2)+20*$B$41^3*(1-$B$41)^3*$B$41^2/(1-2*$B$41*(1-$B$41)))+R10*(1-($B$41^4*(1+4*(1-$B$41)+10*(1-$B$41)^2)+20*$B$41^3*(1-$B$41)^3*$B$41^2/(1-2*$B$41*(1-$B$41))))</f>
        <v>0.219520106706577</v>
      </c>
      <c r="T10" s="5" t="n">
        <f aca="false">T9*(1-($B$42^4*(1+4*(1-$B$42)+10*(1-$B$42)^2)+20*$B$42^3*(1-$B$42)^3*$B$42^2/(1-2*$B$42*(1-$B$42))))+S10*(1-(1-($B$42^4*(1+4*(1-$B$42)+10*(1-$B$42)^2)+20*$B$42^3*(1-$B$42)^3*$B$42^2/(1-2*$B$42*(1-$B$42)))))</f>
        <v>0.25853285277688</v>
      </c>
      <c r="U10" s="5" t="n">
        <f aca="false">U9*($B$41^4*(1+4*(1-$B$41)+10*(1-$B$41)^2)+20*$B$41^3*(1-$B$41)^3*$B$41^2/(1-2*$B$41*(1-$B$41)))+T10*(1-($B$41^4*(1+4*(1-$B$41)+10*(1-$B$41)^2)+20*$B$41^3*(1-$B$41)^3*$B$41^2/(1-2*$B$41*(1-$B$41))))</f>
        <v>0.401113917829122</v>
      </c>
      <c r="V10" s="5" t="n">
        <f aca="false">V9*(1-($B$42^4*(1+4*(1-$B$42)+10*(1-$B$42)^2)+20*$B$42^3*(1-$B$42)^3*$B$42^2/(1-2*$B$42*(1-$B$42))))+U10*(1-(1-($B$42^4*(1+4*(1-$B$42)+10*(1-$B$42)^2)+20*$B$42^3*(1-$B$42)^3*$B$42^2/(1-2*$B$42*(1-$B$42)))))</f>
        <v>0.372801421675168</v>
      </c>
      <c r="W10" s="5" t="n">
        <f aca="false">V10*(1-($B$41^4*(1+4*(1-$B$41)+10*(1-$B$41)^2)+20*$B$41^3*(1-$B$41)^3*$B$41^2/(1-2*$B$41*(1-$B$41))))</f>
        <v>0.0480526038791812</v>
      </c>
    </row>
    <row r="11" customFormat="false" ht="15" hidden="false" customHeight="false" outlineLevel="0" collapsed="false">
      <c r="A11" s="0" t="s">
        <v>20</v>
      </c>
      <c r="B11" s="4" t="n">
        <v>0.1</v>
      </c>
      <c r="H11" s="5" t="n">
        <f aca="false">H10*(1-$B$42)</f>
        <v>0.0127472187037818</v>
      </c>
      <c r="I11" s="5" t="n">
        <f aca="false">I10*(1-$B$42)+H11*(1-(1-$B$42))</f>
        <v>0.0396895741231508</v>
      </c>
      <c r="J11" s="5" t="n">
        <f aca="false">J10*$B$41+I11*(1-$B$41)</f>
        <v>0.111597846357479</v>
      </c>
      <c r="K11" s="5" t="n">
        <f aca="false">K10*$B$41+J11*(1-$B$41)</f>
        <v>0.196168957002933</v>
      </c>
      <c r="L11" s="5" t="n">
        <f aca="false">L10*(1-$B$42)+K11*(1-(1-$B$42))</f>
        <v>0.223050843160766</v>
      </c>
      <c r="M11" s="5" t="n">
        <f aca="false">M10*(1-$B$42)+L11*(1-(1-$B$42))</f>
        <v>0.236515368521419</v>
      </c>
      <c r="N11" s="5" t="n">
        <f aca="false">N10*$B$41+M11*(1-$B$41)</f>
        <v>0.239778456371099</v>
      </c>
      <c r="Q11" s="5" t="n">
        <f aca="false">Q10*(1-($B$42^4*(1+4*(1-$B$42)+10*(1-$B$42)^2)+20*$B$42^3*(1-$B$42)^3*$B$42^2/(1-2*$B$42*(1-$B$42))))</f>
        <v>0.00282041854048726</v>
      </c>
      <c r="R11" s="5" t="n">
        <f aca="false">R10*($B$41^4*(1+4*(1-$B$41)+10*(1-$B$41)^2)+20*$B$41^3*(1-$B$41)^3*$B$41^2/(1-2*$B$41*(1-$B$41)))</f>
        <v>0.0391633373734046</v>
      </c>
      <c r="S11" s="5" t="n">
        <f aca="false">S10*(1-($B$42^4*(1+4*(1-$B$42)+10*(1-$B$42)^2)+20*$B$42^3*(1-$B$42)^3*$B$42^2/(1-2*$B$42*(1-$B$42))))</f>
        <v>0.0356048209844595</v>
      </c>
      <c r="T11" s="5" t="n">
        <f aca="false">T10*($B$41^4*(1+4*(1-$B$41)+10*(1-$B$41)^2)+20*$B$41^3*(1-$B$41)^3*$B$41^2/(1-2*$B$41*(1-$B$41)))</f>
        <v>0.225209007850487</v>
      </c>
      <c r="U11" s="5" t="n">
        <f aca="false">U10*(1-($B$42^4*(1+4*(1-$B$42)+10*(1-$B$42)^2)+20*$B$42^3*(1-$B$42)^3*$B$42^2/(1-2*$B$42*(1-$B$42))))</f>
        <v>0.0650582283916738</v>
      </c>
      <c r="V11" s="5" t="n">
        <f aca="false">V10*($B$41^4*(1+4*(1-$B$41)+10*(1-$B$41)^2)+20*$B$41^3*(1-$B$41)^3*$B$41^2/(1-2*$B$41*(1-$B$41)))</f>
        <v>0.324748817795987</v>
      </c>
      <c r="W11" s="5" t="n">
        <f aca="false">W10*(1-($B$42^4*(1+4*(1-$B$42)+10*(1-$B$42)^2)+20*$B$42^3*(1-$B$42)^3*$B$42^2/(1-2*$B$42*(1-$B$42))))+V11*(1-(1-($B$42^4*(1+4*(1-$B$42)+10*(1-$B$42)^2)+20*$B$42^3*(1-$B$42)^3*$B$42^2/(1-2*$B$42*(1-$B$42)))))</f>
        <v>0.279870381322038</v>
      </c>
    </row>
    <row r="12" customFormat="false" ht="15" hidden="false" customHeight="false" outlineLevel="0" collapsed="false">
      <c r="A12" s="0" t="s">
        <v>21</v>
      </c>
      <c r="B12" s="4" t="n">
        <v>0.178158348497266</v>
      </c>
      <c r="G12" s="5" t="s">
        <v>22</v>
      </c>
      <c r="H12" s="5" t="n">
        <f aca="false">H11*(1-$B$42)+I11*$B$41+J11*$B$41+K11*(1-$B$42)+L11*(1-$B$42)+M11*$B$41+N11*($B$41*(1-$B$42))/(($B$41*(1-$B$42))+((1-$B$41)*$B$42))</f>
        <v>0.537448876065646</v>
      </c>
      <c r="P12" s="5" t="s">
        <v>23</v>
      </c>
      <c r="Q12" s="5" t="n">
        <f aca="false">Q11+R11+S11+T11+U11+V11*(1-($B$42^4*(1+4*(1-$B$42)+10*(1-$B$42)^2)+20*$B$42^3*(1-$B$42)^3*$B$42^2/(1-2*$B$42*(1-$B$42))))+W11*H12</f>
        <v>0.570944110454598</v>
      </c>
    </row>
    <row r="13" customFormat="false" ht="15" hidden="false" customHeight="false" outlineLevel="0" collapsed="false">
      <c r="A13" s="0" t="s">
        <v>24</v>
      </c>
      <c r="B13" s="4" t="n">
        <v>0.625170879589027</v>
      </c>
    </row>
    <row r="14" customFormat="false" ht="15" hidden="false" customHeight="false" outlineLevel="0" collapsed="false">
      <c r="A14" s="0" t="s">
        <v>25</v>
      </c>
      <c r="B14" s="4" t="n">
        <v>0.173180190740495</v>
      </c>
      <c r="G14" s="3" t="s">
        <v>26</v>
      </c>
      <c r="P14" s="3" t="s">
        <v>27</v>
      </c>
    </row>
    <row r="15" customFormat="false" ht="15" hidden="false" customHeight="false" outlineLevel="0" collapsed="false">
      <c r="A15" s="0" t="s">
        <v>28</v>
      </c>
      <c r="B15" s="4" t="n">
        <v>0.636051230356151</v>
      </c>
      <c r="H15" s="0" t="n">
        <v>1</v>
      </c>
      <c r="I15" s="5" t="n">
        <f aca="false">H15*(1-$C$41)</f>
        <v>0.322909510269361</v>
      </c>
      <c r="J15" s="5" t="n">
        <f aca="false">I15*(1-(1-$C$42))</f>
        <v>0.211504189231645</v>
      </c>
      <c r="K15" s="5" t="n">
        <f aca="false">J15*(1-(1-$C$42))</f>
        <v>0.138534235257486</v>
      </c>
      <c r="L15" s="5" t="n">
        <f aca="false">K15*(1-$C$41)</f>
        <v>0.0447340220625353</v>
      </c>
      <c r="M15" s="5" t="n">
        <f aca="false">L15*(1-$C$41)</f>
        <v>0.0144450411565921</v>
      </c>
      <c r="N15" s="5" t="n">
        <f aca="false">M15*(1-(1-$C$42))</f>
        <v>0.00946143306740703</v>
      </c>
      <c r="Q15" s="0" t="n">
        <v>1</v>
      </c>
      <c r="R15" s="5" t="n">
        <f aca="false">Q15*(1-($C$41^4*(1+4*(1-$C$41)+10*(1-$C$41)^2)+20*$C$41^3*(1-$C$41)^3*$C$41^2/(1-2*$C$41*(1-$C$41))))</f>
        <v>0.128895978087366</v>
      </c>
      <c r="S15" s="5" t="n">
        <f aca="false">R15*(1-(1-($C$42^4*(1+4*(1-$C$42)+10*(1-$C$42)^2)+20*$C$42^3*(1-$C$42)^3*$C$42^2/(1-2*$C$42*(1-$C$42)))))</f>
        <v>0.107989837441435</v>
      </c>
      <c r="T15" s="5" t="n">
        <f aca="false">S15*(1-($C$41^4*(1+4*(1-$C$41)+10*(1-$C$41)^2)+20*$C$41^3*(1-$C$41)^3*$C$41^2/(1-2*$C$41*(1-$C$41))))</f>
        <v>0.0139194557205093</v>
      </c>
      <c r="U15" s="5" t="n">
        <f aca="false">T15*(1-(1-($C$42^4*(1+4*(1-$C$42)+10*(1-$C$42)^2)+20*$C$42^3*(1-$C$42)^3*$C$42^2/(1-2*$C$42*(1-$C$42)))))</f>
        <v>0.0116618049906275</v>
      </c>
      <c r="V15" s="5" t="n">
        <f aca="false">U15*(1-($C$41^4*(1+4*(1-$C$41)+10*(1-$C$41)^2)+20*$C$41^3*(1-$C$41)^3*$C$41^2/(1-2*$C$41*(1-$C$41))))</f>
        <v>0.00150315976053105</v>
      </c>
      <c r="W15" s="5" t="n">
        <f aca="false">V15*(1-(1-($C$42^4*(1+4*(1-$C$42)+10*(1-$C$42)^2)+20*$C$42^3*(1-$C$42)^3*$C$42^2/(1-2*$C$42*(1-$C$42)))))</f>
        <v>0.00125935642521157</v>
      </c>
    </row>
    <row r="16" customFormat="false" ht="15" hidden="false" customHeight="false" outlineLevel="0" collapsed="false">
      <c r="A16" s="0" t="s">
        <v>84</v>
      </c>
      <c r="B16" s="4" t="n">
        <v>0.5</v>
      </c>
      <c r="H16" s="5" t="n">
        <f aca="false">H15*$C$41</f>
        <v>0.677090489730639</v>
      </c>
      <c r="I16" s="5" t="n">
        <f aca="false">I15*(1-$C$42)+H16*(1-(1-$C$42))</f>
        <v>0.554896362684266</v>
      </c>
      <c r="J16" s="5" t="n">
        <f aca="false">J15*(1-$C$42)+I16*(1-(1-$C$42))</f>
        <v>0.436424425164009</v>
      </c>
      <c r="K16" s="5" t="n">
        <f aca="false">K15*$C$41+J16*(1-$C$41)</f>
        <v>0.234725810594248</v>
      </c>
      <c r="L16" s="5" t="n">
        <f aca="false">L15*$C$41+K16*(1-$C$41)</f>
        <v>0.106084177452511</v>
      </c>
      <c r="M16" s="5" t="n">
        <f aca="false">M15*(1-$C$42)+L16*(1-(1-$C$42))</f>
        <v>0.0744682383922156</v>
      </c>
      <c r="N16" s="5" t="n">
        <f aca="false">N15*(1-$C$42)+M16*(1-(1-$C$42))</f>
        <v>0.0520405805297838</v>
      </c>
      <c r="Q16" s="5" t="n">
        <f aca="false">Q15*($C$41^4*(1+4*(1-$C$41)+10*(1-$C$41)^2)+20*$C$41^3*(1-$C$41)^3*$C$41^2/(1-2*$C$41*(1-$C$41)))</f>
        <v>0.871104021912634</v>
      </c>
      <c r="R16" s="5" t="n">
        <f aca="false">R15*(1-($C$42^4*(1+4*(1-$C$42)+10*(1-$C$42)^2)+20*$C$42^3*(1-$C$42)^3*$C$42^2/(1-2*$C$42*(1-$C$42))))+Q16*(1-(1-($C$42^4*(1+4*(1-$C$42)+10*(1-$C$42)^2)+20*$C$42^3*(1-$C$42)^3*$C$42^2/(1-2*$C$42*(1-$C$42)))))</f>
        <v>0.750722408901908</v>
      </c>
      <c r="S16" s="5" t="n">
        <f aca="false">S15*($C$41^4*(1+4*(1-$C$41)+10*(1-$C$41)^2)+20*$C$41^3*(1-$C$41)^3*$C$41^2/(1-2*$C$41*(1-$C$41)))+R16*(1-($C$41^4*(1+4*(1-$C$41)+10*(1-$C$41)^2)+20*$C$41^3*(1-$C$41)^3*$C$41^2/(1-2*$C$41*(1-$C$41))))</f>
        <v>0.19083548088844</v>
      </c>
      <c r="T16" s="5" t="n">
        <f aca="false">T15*(1-($C$42^4*(1+4*(1-$C$42)+10*(1-$C$42)^2)+20*$C$42^3*(1-$C$42)^3*$C$42^2/(1-2*$C$42*(1-$C$42))))+S16*(1-(1-($C$42^4*(1+4*(1-$C$42)+10*(1-$C$42)^2)+20*$C$42^3*(1-$C$42)^3*$C$42^2/(1-2*$C$42*(1-$C$42)))))</f>
        <v>0.162140781801919</v>
      </c>
      <c r="U16" s="5" t="n">
        <f aca="false">U15*($C$41^4*(1+4*(1-$C$41)+10*(1-$C$41)^2)+20*$C$41^3*(1-$C$41)^3*$C$41^2/(1-2*$C$41*(1-$C$41)))+T16*(1-($C$41^4*(1+4*(1-$C$41)+10*(1-$C$41)^2)+20*$C$41^3*(1-$C$41)^3*$C$41^2/(1-2*$C$41*(1-$C$41))))</f>
        <v>0.0310579398883049</v>
      </c>
      <c r="V16" s="5" t="n">
        <f aca="false">V15*(1-($C$42^4*(1+4*(1-$C$42)+10*(1-$C$42)^2)+20*$C$42^3*(1-$C$42)^3*$C$42^2/(1-2*$C$42*(1-$C$42))))+U16*(1-(1-($C$42^4*(1+4*(1-$C$42)+10*(1-$C$42)^2)+20*$C$42^3*(1-$C$42)^3*$C$42^2/(1-2*$C$42*(1-$C$42)))))</f>
        <v>0.0262643350041245</v>
      </c>
      <c r="W16" s="5" t="n">
        <f aca="false">V16*(1-($C$41^4*(1+4*(1-$C$41)+10*(1-$C$41)^2)+20*$C$41^3*(1-$C$41)^3*$C$41^2/(1-2*$C$41*(1-$C$41))))</f>
        <v>0.00338536714917086</v>
      </c>
    </row>
    <row r="17" customFormat="false" ht="15" hidden="false" customHeight="false" outlineLevel="0" collapsed="false">
      <c r="A17" s="0" t="s">
        <v>30</v>
      </c>
      <c r="B17" s="4" t="n">
        <v>0.005</v>
      </c>
      <c r="H17" s="5" t="n">
        <f aca="false">H16*(1-$C$42)</f>
        <v>0.23359944808409</v>
      </c>
      <c r="I17" s="5" t="n">
        <f aca="false">I16*(1-$C$42)+H17*(1-(1-$C$42))</f>
        <v>0.344448415925272</v>
      </c>
      <c r="J17" s="5" t="n">
        <f aca="false">J16*$C$41+I17*(1-$C$41)</f>
        <v>0.406724497064198</v>
      </c>
      <c r="K17" s="5" t="n">
        <f aca="false">K16*$C$41+J17*(1-$C$41)</f>
        <v>0.290265822209233</v>
      </c>
      <c r="L17" s="5" t="n">
        <f aca="false">L16*(1-$C$42)+K17*(1-(1-$C$42))</f>
        <v>0.226722276383466</v>
      </c>
      <c r="M17" s="5" t="n">
        <f aca="false">M16*(1-$C$42)+L17*(1-(1-$C$42))</f>
        <v>0.174193907158432</v>
      </c>
      <c r="N17" s="5" t="n">
        <f aca="false">N16*$C$41+M17*(1-$C$41)</f>
        <v>0.0914850514092137</v>
      </c>
      <c r="Q17" s="5" t="n">
        <f aca="false">Q16*(1-($C$42^4*(1+4*(1-$C$42)+10*(1-$C$42)^2)+20*$C$42^3*(1-$C$42)^3*$C$42^2/(1-2*$C$42*(1-$C$42))))</f>
        <v>0.141287753656658</v>
      </c>
      <c r="R17" s="5" t="n">
        <f aca="false">R16*($C$41^4*(1+4*(1-$C$41)+10*(1-$C$41)^2)+20*$C$41^3*(1-$C$41)^3*$C$41^2/(1-2*$C$41*(1-$C$41)))+Q17*(1-($C$41^4*(1+4*(1-$C$41)+10*(1-$C$41)^2)+20*$C$41^3*(1-$C$41)^3*$C$41^2/(1-2*$C$41*(1-$C$41))))</f>
        <v>0.672168732933735</v>
      </c>
      <c r="S17" s="5" t="n">
        <f aca="false">S16*(1-($C$42^4*(1+4*(1-$C$42)+10*(1-$C$42)^2)+20*$C$42^3*(1-$C$42)^3*$C$42^2/(1-2*$C$42*(1-$C$42))))+R17*(1-(1-($C$42^4*(1+4*(1-$C$42)+10*(1-$C$42)^2)+20*$C$42^3*(1-$C$42)^3*$C$42^2/(1-2*$C$42*(1-$C$42)))))</f>
        <v>0.594099418327179</v>
      </c>
      <c r="T17" s="5" t="n">
        <f aca="false">T16*($C$41^4*(1+4*(1-$C$41)+10*(1-$C$41)^2)+20*$C$41^3*(1-$C$41)^3*$C$41^2/(1-2*$C$41*(1-$C$41)))+S17*(1-($C$41^4*(1+4*(1-$C$41)+10*(1-$C$41)^2)+20*$C$41^3*(1-$C$41)^3*$C$41^2/(1-2*$C$41*(1-$C$41))))</f>
        <v>0.217818512750127</v>
      </c>
      <c r="U17" s="5" t="n">
        <f aca="false">U16*(1-($C$42^4*(1+4*(1-$C$42)+10*(1-$C$42)^2)+20*$C$42^3*(1-$C$42)^3*$C$42^2/(1-2*$C$42*(1-$C$42))))+T17*(1-(1-($C$42^4*(1+4*(1-$C$42)+10*(1-$C$42)^2)+20*$C$42^3*(1-$C$42)^3*$C$42^2/(1-2*$C$42*(1-$C$42)))))</f>
        <v>0.187527088135486</v>
      </c>
      <c r="V17" s="5" t="n">
        <f aca="false">V16*($C$41^4*(1+4*(1-$C$41)+10*(1-$C$41)^2)+20*$C$41^3*(1-$C$41)^3*$C$41^2/(1-2*$C$41*(1-$C$41)))+U17*(1-($C$41^4*(1+4*(1-$C$41)+10*(1-$C$41)^2)+20*$C$41^3*(1-$C$41)^3*$C$41^2/(1-2*$C$41*(1-$C$41))))</f>
        <v>0.0470504552980527</v>
      </c>
      <c r="W17" s="5" t="n">
        <f aca="false">V17*(1-(1-($C$42^4*(1+4*(1-$C$42)+10*(1-$C$42)^2)+20*$C$42^3*(1-$C$42)^3*$C$42^2/(1-2*$C$42*(1-$C$42)))))</f>
        <v>0.0394191587245517</v>
      </c>
    </row>
    <row r="18" customFormat="false" ht="15" hidden="false" customHeight="false" outlineLevel="0" collapsed="false">
      <c r="A18" s="0" t="s">
        <v>31</v>
      </c>
      <c r="B18" s="4" t="n">
        <v>0.02</v>
      </c>
      <c r="H18" s="5" t="n">
        <f aca="false">H17*(1-$C$42)</f>
        <v>0.0805929236532329</v>
      </c>
      <c r="I18" s="5" t="n">
        <f aca="false">I17*$C$41+H18*(1-$C$41)</f>
        <v>0.259246968133827</v>
      </c>
      <c r="J18" s="5" t="n">
        <f aca="false">J17*$C$41+I18*(1-$C$41)</f>
        <v>0.359102600421556</v>
      </c>
      <c r="K18" s="5" t="n">
        <f aca="false">K17*(1-$C$42)+J18*(1-(1-$C$42))</f>
        <v>0.335353583647325</v>
      </c>
      <c r="L18" s="5" t="n">
        <f aca="false">L17*(1-$C$42)+K18*(1-(1-$C$42))</f>
        <v>0.297875264565357</v>
      </c>
      <c r="M18" s="5" t="n">
        <f aca="false">M17*$C$41+L18*(1-$C$41)</f>
        <v>0.214131793708152</v>
      </c>
      <c r="N18" s="5" t="n">
        <f aca="false">N17*$C$41+M18*(1-$C$41)</f>
        <v>0.131088850901096</v>
      </c>
      <c r="Q18" s="5" t="n">
        <f aca="false">Q17*($C$41^4*(1+4*(1-$C$41)+10*(1-$C$41)^2)+20*$C$41^3*(1-$C$41)^3*$C$41^2/(1-2*$C$41*(1-$C$41)))</f>
        <v>0.123076330457316</v>
      </c>
      <c r="R18" s="5" t="n">
        <f aca="false">R17*(1-($C$42^4*(1+4*(1-$C$42)+10*(1-$C$42)^2)+20*$C$42^3*(1-$C$42)^3*$C$42^2/(1-2*$C$42*(1-$C$42))))+Q18*(1-(1-($C$42^4*(1+4*(1-$C$42)+10*(1-$C$42)^2)+20*$C$42^3*(1-$C$42)^3*$C$42^2/(1-2*$C$42*(1-$C$42)))))</f>
        <v>0.212135765546931</v>
      </c>
      <c r="S18" s="5" t="n">
        <f aca="false">S17*($C$41^4*(1+4*(1-$C$41)+10*(1-$C$41)^2)+20*$C$41^3*(1-$C$41)^3*$C$41^2/(1-2*$C$41*(1-$C$41)))+R18*(1-($C$41^4*(1+4*(1-$C$41)+10*(1-$C$41)^2)+20*$C$41^3*(1-$C$41)^3*$C$41^2/(1-2*$C$41*(1-$C$41))))</f>
        <v>0.544865839708246</v>
      </c>
      <c r="T18" s="5" t="n">
        <f aca="false">T17*(1-($C$42^4*(1+4*(1-$C$42)+10*(1-$C$42)^2)+20*$C$42^3*(1-$C$42)^3*$C$42^2/(1-2*$C$42*(1-$C$42))))+S18*(1-(1-($C$42^4*(1+4*(1-$C$42)+10*(1-$C$42)^2)+20*$C$42^3*(1-$C$42)^3*$C$42^2/(1-2*$C$42*(1-$C$42)))))</f>
        <v>0.491820760127657</v>
      </c>
      <c r="U18" s="5" t="n">
        <f aca="false">U17*($C$41^4*(1+4*(1-$C$41)+10*(1-$C$41)^2)+20*$C$41^3*(1-$C$41)^3*$C$41^2/(1-2*$C$41*(1-$C$41)))+T18*(1-($C$41^4*(1+4*(1-$C$41)+10*(1-$C$41)^2)+20*$C$41^3*(1-$C$41)^3*$C$41^2/(1-2*$C$41*(1-$C$41))))</f>
        <v>0.226749318612713</v>
      </c>
      <c r="V18" s="5" t="n">
        <f aca="false">V17*(1-($C$42^4*(1+4*(1-$C$42)+10*(1-$C$42)^2)+20*$C$42^3*(1-$C$42)^3*$C$42^2/(1-2*$C$42*(1-$C$42))))+U18*(1-(1-($C$42^4*(1+4*(1-$C$42)+10*(1-$C$42)^2)+20*$C$42^3*(1-$C$42)^3*$C$42^2/(1-2*$C$42*(1-$C$42)))))</f>
        <v>0.197603260169959</v>
      </c>
      <c r="W18" s="5" t="n">
        <f aca="false">V18*(1-($C$41^4*(1+4*(1-$C$41)+10*(1-$C$41)^2)+20*$C$41^3*(1-$C$41)^3*$C$41^2/(1-2*$C$41*(1-$C$41))))</f>
        <v>0.0254702654928591</v>
      </c>
    </row>
    <row r="19" customFormat="false" ht="15" hidden="false" customHeight="false" outlineLevel="0" collapsed="false">
      <c r="A19" s="0" t="s">
        <v>32</v>
      </c>
      <c r="B19" s="4" t="n">
        <v>0.03</v>
      </c>
      <c r="H19" s="5" t="n">
        <f aca="false">H18*$C$41</f>
        <v>0.0545687021451915</v>
      </c>
      <c r="I19" s="5" t="n">
        <f aca="false">I18*$C$41+H19*(1-$C$41)</f>
        <v>0.193154409500655</v>
      </c>
      <c r="J19" s="5" t="n">
        <f aca="false">J18*(1-$C$42)+I19*(1-(1-$C$42))</f>
        <v>0.250407326795502</v>
      </c>
      <c r="K19" s="5" t="n">
        <f aca="false">K18*(1-$C$42)+J19*(1-(1-$C$42))</f>
        <v>0.279714190528427</v>
      </c>
      <c r="L19" s="5" t="n">
        <f aca="false">L18*$C$41+K19*(1-$C$41)</f>
        <v>0.292010881042126</v>
      </c>
      <c r="M19" s="5" t="n">
        <f aca="false">M18*$C$41+L19*(1-$C$41)</f>
        <v>0.23927969165939</v>
      </c>
      <c r="N19" s="5" t="n">
        <f aca="false">N18*(1-$C$42)+M19*(1-(1-$C$42))</f>
        <v>0.201953335622481</v>
      </c>
      <c r="Q19" s="5" t="n">
        <f aca="false">Q18*(1-($C$42^4*(1+4*(1-$C$42)+10*(1-$C$42)^2)+20*$C$42^3*(1-$C$42)^3*$C$42^2/(1-2*$C$42*(1-$C$42))))</f>
        <v>0.0199622293333443</v>
      </c>
      <c r="R19" s="5" t="n">
        <f aca="false">R18*($C$41^4*(1+4*(1-$C$41)+10*(1-$C$41)^2)+20*$C$41^3*(1-$C$41)^3*$C$41^2/(1-2*$C$41*(1-$C$41)))+Q19*(1-($C$41^4*(1+4*(1-$C$41)+10*(1-$C$41)^2)+20*$C$41^3*(1-$C$41)^3*$C$41^2/(1-2*$C$41*(1-$C$41))))</f>
        <v>0.187365369634173</v>
      </c>
      <c r="S19" s="5" t="n">
        <f aca="false">S18*(1-($C$42^4*(1+4*(1-$C$42)+10*(1-$C$42)^2)+20*$C$42^3*(1-$C$42)^3*$C$42^2/(1-2*$C$42*(1-$C$42))))+R19*(1-(1-($C$42^4*(1+4*(1-$C$42)+10*(1-$C$42)^2)+20*$C$42^3*(1-$C$42)^3*$C$42^2/(1-2*$C$42*(1-$C$42)))))</f>
        <v>0.245349763090493</v>
      </c>
      <c r="T19" s="5" t="n">
        <f aca="false">T18*($C$41^4*(1+4*(1-$C$41)+10*(1-$C$41)^2)+20*$C$41^3*(1-$C$41)^3*$C$41^2/(1-2*$C$41*(1-$C$41)))+S19*(1-($C$41^4*(1+4*(1-$C$41)+10*(1-$C$41)^2)+20*$C$41^3*(1-$C$41)^3*$C$41^2/(1-2*$C$41*(1-$C$41))))</f>
        <v>0.460051639894383</v>
      </c>
      <c r="U19" s="5" t="n">
        <f aca="false">U18*(1-($C$42^4*(1+4*(1-$C$42)+10*(1-$C$42)^2)+20*$C$42^3*(1-$C$42)^3*$C$42^2/(1-2*$C$42*(1-$C$42))))+T19*(1-(1-($C$42^4*(1+4*(1-$C$42)+10*(1-$C$42)^2)+20*$C$42^3*(1-$C$42)^3*$C$42^2/(1-2*$C$42*(1-$C$42)))))</f>
        <v>0.422211427855876</v>
      </c>
      <c r="V19" s="5" t="n">
        <f aca="false">V18*($C$41^4*(1+4*(1-$C$41)+10*(1-$C$41)^2)+20*$C$41^3*(1-$C$41)^3*$C$41^2/(1-2*$C$41*(1-$C$41)))+U19*(1-($C$41^4*(1+4*(1-$C$41)+10*(1-$C$41)^2)+20*$C$41^3*(1-$C$41)^3*$C$41^2/(1-2*$C$41*(1-$C$41))))</f>
        <v>0.226554349630247</v>
      </c>
      <c r="W19" s="5" t="n">
        <f aca="false">V19*(1-(1-($C$42^4*(1+4*(1-$C$42)+10*(1-$C$42)^2)+20*$C$42^3*(1-$C$42)^3*$C$42^2/(1-2*$C$42*(1-$C$42)))))</f>
        <v>0.189808617392527</v>
      </c>
    </row>
    <row r="20" customFormat="false" ht="15" hidden="false" customHeight="false" outlineLevel="0" collapsed="false">
      <c r="A20" s="0" t="s">
        <v>33</v>
      </c>
      <c r="B20" s="4" t="n">
        <v>0.005</v>
      </c>
      <c r="H20" s="5" t="n">
        <f aca="false">H19*$C$41</f>
        <v>0.0369479492594531</v>
      </c>
      <c r="I20" s="5" t="n">
        <f aca="false">I19*(1-$C$42)+H20*(1-(1-$C$42))</f>
        <v>0.0908399230103034</v>
      </c>
      <c r="J20" s="5" t="n">
        <f aca="false">J19*(1-$C$42)+I20*(1-(1-$C$42))</f>
        <v>0.145891438312582</v>
      </c>
      <c r="K20" s="5" t="n">
        <f aca="false">K19*$C$41+J20*(1-$C$41)</f>
        <v>0.23650155114751</v>
      </c>
      <c r="L20" s="5" t="n">
        <f aca="false">L19*$C$41+K20*(1-$C$41)</f>
        <v>0.274086390510475</v>
      </c>
      <c r="M20" s="5" t="n">
        <f aca="false">M19*(1-$C$42)+L20*(1-(1-$C$42))</f>
        <v>0.262077913409464</v>
      </c>
      <c r="N20" s="5" t="n">
        <f aca="false">N19*(1-$C$42)+M20*(1-(1-$C$42))</f>
        <v>0.24133464733152</v>
      </c>
      <c r="Q20" s="5" t="n">
        <f aca="false">Q19*($C$41^4*(1+4*(1-$C$41)+10*(1-$C$41)^2)+20*$C$41^3*(1-$C$41)^3*$C$41^2/(1-2*$C$41*(1-$C$41)))</f>
        <v>0.0173891782586186</v>
      </c>
      <c r="R20" s="5" t="n">
        <f aca="false">R19*(1-($C$42^4*(1+4*(1-$C$42)+10*(1-$C$42)^2)+20*$C$42^3*(1-$C$42)^3*$C$42^2/(1-2*$C$42*(1-$C$42))))+Q20*(1-(1-($C$42^4*(1+4*(1-$C$42)+10*(1-$C$42)^2)+20*$C$42^3*(1-$C$42)^3*$C$42^2/(1-2*$C$42*(1-$C$42)))))</f>
        <v>0.0449582786765418</v>
      </c>
      <c r="S20" s="5" t="n">
        <f aca="false">S19*($C$41^4*(1+4*(1-$C$41)+10*(1-$C$41)^2)+20*$C$41^3*(1-$C$41)^3*$C$41^2/(1-2*$C$41*(1-$C$41)))+R20*(1-($C$41^4*(1+4*(1-$C$41)+10*(1-$C$41)^2)+20*$C$41^3*(1-$C$41)^3*$C$41^2/(1-2*$C$41*(1-$C$41))))</f>
        <v>0.219520106706577</v>
      </c>
      <c r="T20" s="5" t="n">
        <f aca="false">T19*(1-($C$42^4*(1+4*(1-$C$42)+10*(1-$C$42)^2)+20*$C$42^3*(1-$C$42)^3*$C$42^2/(1-2*$C$42*(1-$C$42))))+S20*(1-(1-($C$42^4*(1+4*(1-$C$42)+10*(1-$C$42)^2)+20*$C$42^3*(1-$C$42)^3*$C$42^2/(1-2*$C$42*(1-$C$42)))))</f>
        <v>0.25853285277688</v>
      </c>
      <c r="U20" s="5" t="n">
        <f aca="false">U19*($C$41^4*(1+4*(1-$C$41)+10*(1-$C$41)^2)+20*$C$41^3*(1-$C$41)^3*$C$41^2/(1-2*$C$41*(1-$C$41)))+T20*(1-($C$41^4*(1+4*(1-$C$41)+10*(1-$C$41)^2)+20*$C$41^3*(1-$C$41)^3*$C$41^2/(1-2*$C$41*(1-$C$41))))</f>
        <v>0.401113917829122</v>
      </c>
      <c r="V20" s="5" t="n">
        <f aca="false">V19*(1-($C$42^4*(1+4*(1-$C$42)+10*(1-$C$42)^2)+20*$C$42^3*(1-$C$42)^3*$C$42^2/(1-2*$C$42*(1-$C$42))))+U20*(1-(1-($C$42^4*(1+4*(1-$C$42)+10*(1-$C$42)^2)+20*$C$42^3*(1-$C$42)^3*$C$42^2/(1-2*$C$42*(1-$C$42)))))</f>
        <v>0.372801421675168</v>
      </c>
      <c r="W20" s="5" t="n">
        <f aca="false">V20*(1-($C$41^4*(1+4*(1-$C$41)+10*(1-$C$41)^2)+20*$C$41^3*(1-$C$41)^3*$C$41^2/(1-2*$C$41*(1-$C$41))))</f>
        <v>0.0480526038791812</v>
      </c>
    </row>
    <row r="21" customFormat="false" ht="15" hidden="false" customHeight="false" outlineLevel="0" collapsed="false">
      <c r="A21" s="0" t="s">
        <v>34</v>
      </c>
      <c r="B21" s="4" t="n">
        <v>0.015</v>
      </c>
      <c r="H21" s="5" t="n">
        <f aca="false">H20*(1-$C$42)</f>
        <v>0.0127472187037818</v>
      </c>
      <c r="I21" s="5" t="n">
        <f aca="false">I20*(1-$C$42)+H21*(1-(1-$C$42))</f>
        <v>0.0396895741231508</v>
      </c>
      <c r="J21" s="5" t="n">
        <f aca="false">J20*$C$41+I21*(1-$C$41)</f>
        <v>0.111597846357479</v>
      </c>
      <c r="K21" s="5" t="n">
        <f aca="false">K20*$C$41+J21*(1-$C$41)</f>
        <v>0.196168957002933</v>
      </c>
      <c r="L21" s="5" t="n">
        <f aca="false">L20*(1-$C$42)+K21*(1-(1-$C$42))</f>
        <v>0.223050843160766</v>
      </c>
      <c r="M21" s="5" t="n">
        <f aca="false">M20*(1-$C$42)+L21*(1-(1-$C$42))</f>
        <v>0.236515368521419</v>
      </c>
      <c r="N21" s="5" t="n">
        <f aca="false">N20*$C$41+M21*(1-$C$41)</f>
        <v>0.239778456371099</v>
      </c>
      <c r="Q21" s="5" t="n">
        <f aca="false">Q20*(1-($C$42^4*(1+4*(1-$C$42)+10*(1-$C$42)^2)+20*$C$42^3*(1-$C$42)^3*$C$42^2/(1-2*$C$42*(1-$C$42))))</f>
        <v>0.00282041854048726</v>
      </c>
      <c r="R21" s="5" t="n">
        <f aca="false">R20*($C$41^4*(1+4*(1-$C$41)+10*(1-$C$41)^2)+20*$C$41^3*(1-$C$41)^3*$C$41^2/(1-2*$C$41*(1-$C$41)))</f>
        <v>0.0391633373734046</v>
      </c>
      <c r="S21" s="5" t="n">
        <f aca="false">S20*(1-($C$42^4*(1+4*(1-$C$42)+10*(1-$C$42)^2)+20*$C$42^3*(1-$C$42)^3*$C$42^2/(1-2*$C$42*(1-$C$42))))</f>
        <v>0.0356048209844595</v>
      </c>
      <c r="T21" s="5" t="n">
        <f aca="false">T20*($C$41^4*(1+4*(1-$C$41)+10*(1-$C$41)^2)+20*$C$41^3*(1-$C$41)^3*$C$41^2/(1-2*$C$41*(1-$C$41)))</f>
        <v>0.225209007850487</v>
      </c>
      <c r="U21" s="5" t="n">
        <f aca="false">U20*(1-($C$42^4*(1+4*(1-$C$42)+10*(1-$C$42)^2)+20*$C$42^3*(1-$C$42)^3*$C$42^2/(1-2*$C$42*(1-$C$42))))</f>
        <v>0.0650582283916738</v>
      </c>
      <c r="V21" s="5" t="n">
        <f aca="false">V20*($C$41^4*(1+4*(1-$C$41)+10*(1-$C$41)^2)+20*$C$41^3*(1-$C$41)^3*$C$41^2/(1-2*$C$41*(1-$C$41)))</f>
        <v>0.324748817795987</v>
      </c>
      <c r="W21" s="5" t="n">
        <f aca="false">W20*(1-($C$42^4*(1+4*(1-$C$42)+10*(1-$C$42)^2)+20*$C$42^3*(1-$C$42)^3*$C$42^2/(1-2*$C$42*(1-$C$42))))+V21*(1-(1-($C$42^4*(1+4*(1-$C$42)+10*(1-$C$42)^2)+20*$C$42^3*(1-$C$42)^3*$C$42^2/(1-2*$C$42*(1-$C$42)))))</f>
        <v>0.279870381322038</v>
      </c>
    </row>
    <row r="22" customFormat="false" ht="15" hidden="false" customHeight="false" outlineLevel="0" collapsed="false">
      <c r="A22" s="0" t="s">
        <v>35</v>
      </c>
      <c r="B22" s="4" t="n">
        <v>0.025</v>
      </c>
      <c r="G22" s="5" t="s">
        <v>22</v>
      </c>
      <c r="H22" s="5" t="n">
        <f aca="false">H21*(1-$C$42)+I21*$C$41+J21*$C$41+K21*(1-$C$42)+L21*(1-$C$42)+M21*$C$41+N21*($C$41*(1-$C$42))/(($C$41*(1-$C$42))+((1-$C$41)*$C$42))</f>
        <v>0.537448876065646</v>
      </c>
      <c r="P22" s="5" t="s">
        <v>23</v>
      </c>
      <c r="Q22" s="5" t="n">
        <f aca="false">Q21+R21+S21+T21+U21+V21*(1-($C$42^4*(1+4*(1-$C$42)+10*(1-$C$42)^2)+20*$C$42^3*(1-$C$42)^3*$C$42^2/(1-2*$C$42*(1-$C$42))))+W21*H22</f>
        <v>0.570944110454598</v>
      </c>
    </row>
    <row r="23" customFormat="false" ht="15" hidden="false" customHeight="false" outlineLevel="0" collapsed="false">
      <c r="A23" s="0" t="s">
        <v>36</v>
      </c>
      <c r="B23" s="4" t="n">
        <v>1</v>
      </c>
    </row>
    <row r="24" customFormat="false" ht="15" hidden="false" customHeight="false" outlineLevel="0" collapsed="false">
      <c r="A24" s="0" t="s">
        <v>37</v>
      </c>
      <c r="B24" s="4" t="n">
        <v>0</v>
      </c>
      <c r="G24" s="3" t="s">
        <v>38</v>
      </c>
      <c r="P24" s="3" t="s">
        <v>39</v>
      </c>
    </row>
    <row r="25" customFormat="false" ht="15" hidden="false" customHeight="false" outlineLevel="0" collapsed="false">
      <c r="A25" s="0" t="s">
        <v>40</v>
      </c>
      <c r="B25" s="4" t="n">
        <v>1</v>
      </c>
      <c r="H25" s="0" t="n">
        <v>1</v>
      </c>
      <c r="I25" s="5" t="n">
        <f aca="false">H25*(1-$D$41)</f>
        <v>0.322909510269361</v>
      </c>
      <c r="J25" s="5" t="n">
        <f aca="false">I25*(1-(1-$D$42))</f>
        <v>0.211504189231645</v>
      </c>
      <c r="K25" s="5" t="n">
        <f aca="false">J25*(1-(1-$D$42))</f>
        <v>0.138534235257486</v>
      </c>
      <c r="L25" s="5" t="n">
        <f aca="false">K25*(1-$D$41)</f>
        <v>0.0447340220625353</v>
      </c>
      <c r="M25" s="5" t="n">
        <f aca="false">L25*(1-$D$41)</f>
        <v>0.0144450411565921</v>
      </c>
      <c r="N25" s="5" t="n">
        <f aca="false">M25*(1-(1-$D$42))</f>
        <v>0.00946143306740703</v>
      </c>
      <c r="Q25" s="0" t="n">
        <v>1</v>
      </c>
      <c r="R25" s="5" t="n">
        <f aca="false">Q25*(1-($D$41^4*(1+4*(1-$D$41)+10*(1-$D$41)^2)+20*$D$41^3*(1-$D$41)^3*$D$41^2/(1-2*$D$41*(1-$D$41))))</f>
        <v>0.128895978087366</v>
      </c>
      <c r="S25" s="5" t="n">
        <f aca="false">R25*(1-(1-($D$42^4*(1+4*(1-$D$42)+10*(1-$D$42)^2)+20*$D$42^3*(1-$D$42)^3*$D$42^2/(1-2*$D$42*(1-$D$42)))))</f>
        <v>0.107989837441435</v>
      </c>
      <c r="T25" s="5" t="n">
        <f aca="false">S25*(1-($D$41^4*(1+4*(1-$D$41)+10*(1-$D$41)^2)+20*$D$41^3*(1-$D$41)^3*$D$41^2/(1-2*$D$41*(1-$D$41))))</f>
        <v>0.0139194557205093</v>
      </c>
      <c r="U25" s="5" t="n">
        <f aca="false">T25*(1-(1-($D$42^4*(1+4*(1-$D$42)+10*(1-$D$42)^2)+20*$D$42^3*(1-$D$42)^3*$D$42^2/(1-2*$D$42*(1-$D$42)))))</f>
        <v>0.0116618049906275</v>
      </c>
      <c r="V25" s="5" t="n">
        <f aca="false">U25*(1-($D$41^4*(1+4*(1-$D$41)+10*(1-$D$41)^2)+20*$D$41^3*(1-$D$41)^3*$D$41^2/(1-2*$D$41*(1-$D$41))))</f>
        <v>0.00150315976053105</v>
      </c>
      <c r="W25" s="5" t="n">
        <f aca="false">V25*(1-(1-($D$42^4*(1+4*(1-$D$42)+10*(1-$D$42)^2)+20*$D$42^3*(1-$D$42)^3*$D$42^2/(1-2*$D$42*(1-$D$42)))))</f>
        <v>0.00125935642521157</v>
      </c>
    </row>
    <row r="26" customFormat="false" ht="15" hidden="false" customHeight="false" outlineLevel="0" collapsed="false">
      <c r="A26" s="0" t="s">
        <v>41</v>
      </c>
      <c r="B26" s="4" t="n">
        <v>0.58</v>
      </c>
      <c r="H26" s="5" t="n">
        <f aca="false">H25*$D$41</f>
        <v>0.677090489730639</v>
      </c>
      <c r="I26" s="5" t="n">
        <f aca="false">I25*(1-$D$42)+H26*(1-(1-$D$42))</f>
        <v>0.554896362684266</v>
      </c>
      <c r="J26" s="5" t="n">
        <f aca="false">J25*(1-$D$42)+I26*(1-(1-$D$42))</f>
        <v>0.436424425164009</v>
      </c>
      <c r="K26" s="5" t="n">
        <f aca="false">K25*$D$41+J26*(1-$D$41)</f>
        <v>0.234725810594248</v>
      </c>
      <c r="L26" s="5" t="n">
        <f aca="false">L25*$D$41+K26*(1-$D$41)</f>
        <v>0.106084177452511</v>
      </c>
      <c r="M26" s="5" t="n">
        <f aca="false">M25*(1-$D$42)+L26*(1-(1-$D$42))</f>
        <v>0.0744682383922156</v>
      </c>
      <c r="N26" s="5" t="n">
        <f aca="false">N25*(1-$D$42)+M26*(1-(1-$D$42))</f>
        <v>0.0520405805297838</v>
      </c>
      <c r="Q26" s="5" t="n">
        <f aca="false">Q25*($D$41^4*(1+4*(1-$D$41)+10*(1-$D$41)^2)+20*$D$41^3*(1-$D$41)^3*$D$41^2/(1-2*$D$41*(1-$D$41)))</f>
        <v>0.871104021912634</v>
      </c>
      <c r="R26" s="5" t="n">
        <f aca="false">R25*(1-($D$42^4*(1+4*(1-$D$42)+10*(1-$D$42)^2)+20*$D$42^3*(1-$D$42)^3*$D$42^2/(1-2*$D$42*(1-$D$42))))+Q26*(1-(1-($D$42^4*(1+4*(1-$D$42)+10*(1-$D$42)^2)+20*$D$42^3*(1-$D$42)^3*$D$42^2/(1-2*$D$42*(1-$D$42)))))</f>
        <v>0.750722408901908</v>
      </c>
      <c r="S26" s="5" t="n">
        <f aca="false">S25*($D$41^4*(1+4*(1-$D$41)+10*(1-$D$41)^2)+20*$D$41^3*(1-$D$41)^3*$D$41^2/(1-2*$D$41*(1-$D$41)))+R26*(1-($D$41^4*(1+4*(1-$D$41)+10*(1-$D$41)^2)+20*$D$41^3*(1-$D$41)^3*$D$41^2/(1-2*$D$41*(1-$D$41))))</f>
        <v>0.19083548088844</v>
      </c>
      <c r="T26" s="5" t="n">
        <f aca="false">T25*(1-($D$42^4*(1+4*(1-$D$42)+10*(1-$D$42)^2)+20*$D$42^3*(1-$D$42)^3*$D$42^2/(1-2*$D$42*(1-$D$42))))+S26*(1-(1-($D$42^4*(1+4*(1-$D$42)+10*(1-$D$42)^2)+20*$D$42^3*(1-$D$42)^3*$D$42^2/(1-2*$D$42*(1-$D$42)))))</f>
        <v>0.162140781801919</v>
      </c>
      <c r="U26" s="5" t="n">
        <f aca="false">U25*($D$41^4*(1+4*(1-$D$41)+10*(1-$D$41)^2)+20*$D$41^3*(1-$D$41)^3*$D$41^2/(1-2*$D$41*(1-$D$41)))+T26*(1-($D$41^4*(1+4*(1-$D$41)+10*(1-$D$41)^2)+20*$D$41^3*(1-$D$41)^3*$D$41^2/(1-2*$D$41*(1-$D$41))))</f>
        <v>0.0310579398883049</v>
      </c>
      <c r="V26" s="5" t="n">
        <f aca="false">V25*(1-($D$42^4*(1+4*(1-$D$42)+10*(1-$D$42)^2)+20*$D$42^3*(1-$D$42)^3*$D$42^2/(1-2*$D$42*(1-$D$42))))+U26*(1-(1-($D$42^4*(1+4*(1-$D$42)+10*(1-$D$42)^2)+20*$D$42^3*(1-$D$42)^3*$D$42^2/(1-2*$D$42*(1-$D$42)))))</f>
        <v>0.0262643350041245</v>
      </c>
      <c r="W26" s="5" t="n">
        <f aca="false">V26*(1-($D$41^4*(1+4*(1-$D$41)+10*(1-$D$41)^2)+20*$D$41^3*(1-$D$41)^3*$D$41^2/(1-2*$D$41*(1-$D$41))))</f>
        <v>0.00338536714917086</v>
      </c>
    </row>
    <row r="27" customFormat="false" ht="15" hidden="false" customHeight="false" outlineLevel="0" collapsed="false">
      <c r="A27" s="0" t="s">
        <v>42</v>
      </c>
      <c r="B27" s="4" t="n">
        <v>0.641520098445768</v>
      </c>
      <c r="H27" s="5" t="n">
        <f aca="false">H26*(1-$D$42)</f>
        <v>0.23359944808409</v>
      </c>
      <c r="I27" s="5" t="n">
        <f aca="false">I26*(1-$D$42)+H27*(1-(1-$D$42))</f>
        <v>0.344448415925272</v>
      </c>
      <c r="J27" s="5" t="n">
        <f aca="false">J26*$D$41+I27*(1-$D$41)</f>
        <v>0.406724497064198</v>
      </c>
      <c r="K27" s="5" t="n">
        <f aca="false">K26*$D$41+J27*(1-$D$41)</f>
        <v>0.290265822209233</v>
      </c>
      <c r="L27" s="5" t="n">
        <f aca="false">L26*(1-$D$42)+K27*(1-(1-$D$42))</f>
        <v>0.226722276383466</v>
      </c>
      <c r="M27" s="5" t="n">
        <f aca="false">M26*(1-$D$42)+L27*(1-(1-$D$42))</f>
        <v>0.174193907158432</v>
      </c>
      <c r="N27" s="5" t="n">
        <f aca="false">N26*$D$41+M27*(1-$D$41)</f>
        <v>0.0914850514092137</v>
      </c>
      <c r="Q27" s="5" t="n">
        <f aca="false">Q26*(1-($D$42^4*(1+4*(1-$D$42)+10*(1-$D$42)^2)+20*$D$42^3*(1-$D$42)^3*$D$42^2/(1-2*$D$42*(1-$D$42))))</f>
        <v>0.141287753656658</v>
      </c>
      <c r="R27" s="5" t="n">
        <f aca="false">R26*($D$41^4*(1+4*(1-$D$41)+10*(1-$D$41)^2)+20*$D$41^3*(1-$D$41)^3*$D$41^2/(1-2*$D$41*(1-$D$41)))+Q27*(1-($D$41^4*(1+4*(1-$D$41)+10*(1-$D$41)^2)+20*$D$41^3*(1-$D$41)^3*$D$41^2/(1-2*$D$41*(1-$D$41))))</f>
        <v>0.672168732933735</v>
      </c>
      <c r="S27" s="5" t="n">
        <f aca="false">S26*(1-($D$42^4*(1+4*(1-$D$42)+10*(1-$D$42)^2)+20*$D$42^3*(1-$D$42)^3*$D$42^2/(1-2*$D$42*(1-$D$42))))+R27*(1-(1-($D$42^4*(1+4*(1-$D$42)+10*(1-$D$42)^2)+20*$D$42^3*(1-$D$42)^3*$D$42^2/(1-2*$D$42*(1-$D$42)))))</f>
        <v>0.594099418327179</v>
      </c>
      <c r="T27" s="5" t="n">
        <f aca="false">T26*($D$41^4*(1+4*(1-$D$41)+10*(1-$D$41)^2)+20*$D$41^3*(1-$D$41)^3*$D$41^2/(1-2*$D$41*(1-$D$41)))+S27*(1-($D$41^4*(1+4*(1-$D$41)+10*(1-$D$41)^2)+20*$D$41^3*(1-$D$41)^3*$D$41^2/(1-2*$D$41*(1-$D$41))))</f>
        <v>0.217818512750127</v>
      </c>
      <c r="U27" s="5" t="n">
        <f aca="false">U26*(1-($D$42^4*(1+4*(1-$D$42)+10*(1-$D$42)^2)+20*$D$42^3*(1-$D$42)^3*$D$42^2/(1-2*$D$42*(1-$D$42))))+T27*(1-(1-($D$42^4*(1+4*(1-$D$42)+10*(1-$D$42)^2)+20*$D$42^3*(1-$D$42)^3*$D$42^2/(1-2*$D$42*(1-$D$42)))))</f>
        <v>0.187527088135486</v>
      </c>
      <c r="V27" s="5" t="n">
        <f aca="false">V26*($D$41^4*(1+4*(1-$D$41)+10*(1-$D$41)^2)+20*$D$41^3*(1-$D$41)^3*$D$41^2/(1-2*$D$41*(1-$D$41)))+U27*(1-($D$41^4*(1+4*(1-$D$41)+10*(1-$D$41)^2)+20*$D$41^3*(1-$D$41)^3*$D$41^2/(1-2*$D$41*(1-$D$41))))</f>
        <v>0.0470504552980527</v>
      </c>
      <c r="W27" s="5" t="n">
        <f aca="false">V27*(1-(1-($D$42^4*(1+4*(1-$D$42)+10*(1-$D$42)^2)+20*$D$42^3*(1-$D$42)^3*$D$42^2/(1-2*$D$42*(1-$D$42)))))</f>
        <v>0.0394191587245517</v>
      </c>
    </row>
    <row r="28" customFormat="false" ht="15" hidden="false" customHeight="false" outlineLevel="0" collapsed="false">
      <c r="A28" s="0" t="s">
        <v>43</v>
      </c>
      <c r="B28" s="4" t="n">
        <v>0.5363</v>
      </c>
      <c r="H28" s="5" t="n">
        <f aca="false">H27*(1-$D$42)</f>
        <v>0.0805929236532329</v>
      </c>
      <c r="I28" s="5" t="n">
        <f aca="false">I27*$D$41+H28*(1-$D$41)</f>
        <v>0.259246968133827</v>
      </c>
      <c r="J28" s="5" t="n">
        <f aca="false">J27*$D$41+I28*(1-$D$41)</f>
        <v>0.359102600421556</v>
      </c>
      <c r="K28" s="5" t="n">
        <f aca="false">K27*(1-$D$42)+J28*(1-(1-$D$42))</f>
        <v>0.335353583647325</v>
      </c>
      <c r="L28" s="5" t="n">
        <f aca="false">L27*(1-$D$42)+K28*(1-(1-$D$42))</f>
        <v>0.297875264565357</v>
      </c>
      <c r="M28" s="5" t="n">
        <f aca="false">M27*$D$41+L28*(1-$D$41)</f>
        <v>0.214131793708152</v>
      </c>
      <c r="N28" s="5" t="n">
        <f aca="false">N27*$D$41+M28*(1-$D$41)</f>
        <v>0.131088850901096</v>
      </c>
      <c r="Q28" s="5" t="n">
        <f aca="false">Q27*($D$41^4*(1+4*(1-$D$41)+10*(1-$D$41)^2)+20*$D$41^3*(1-$D$41)^3*$D$41^2/(1-2*$D$41*(1-$D$41)))</f>
        <v>0.123076330457316</v>
      </c>
      <c r="R28" s="5" t="n">
        <f aca="false">R27*(1-($D$42^4*(1+4*(1-$D$42)+10*(1-$D$42)^2)+20*$D$42^3*(1-$D$42)^3*$D$42^2/(1-2*$D$42*(1-$D$42))))+Q28*(1-(1-($D$42^4*(1+4*(1-$D$42)+10*(1-$D$42)^2)+20*$D$42^3*(1-$D$42)^3*$D$42^2/(1-2*$D$42*(1-$D$42)))))</f>
        <v>0.212135765546931</v>
      </c>
      <c r="S28" s="5" t="n">
        <f aca="false">S27*($D$41^4*(1+4*(1-$D$41)+10*(1-$D$41)^2)+20*$D$41^3*(1-$D$41)^3*$D$41^2/(1-2*$D$41*(1-$D$41)))+R28*(1-($D$41^4*(1+4*(1-$D$41)+10*(1-$D$41)^2)+20*$D$41^3*(1-$D$41)^3*$D$41^2/(1-2*$D$41*(1-$D$41))))</f>
        <v>0.544865839708246</v>
      </c>
      <c r="T28" s="5" t="n">
        <f aca="false">T27*(1-($D$42^4*(1+4*(1-$D$42)+10*(1-$D$42)^2)+20*$D$42^3*(1-$D$42)^3*$D$42^2/(1-2*$D$42*(1-$D$42))))+S28*(1-(1-($D$42^4*(1+4*(1-$D$42)+10*(1-$D$42)^2)+20*$D$42^3*(1-$D$42)^3*$D$42^2/(1-2*$D$42*(1-$D$42)))))</f>
        <v>0.491820760127657</v>
      </c>
      <c r="U28" s="5" t="n">
        <f aca="false">U27*($D$41^4*(1+4*(1-$D$41)+10*(1-$D$41)^2)+20*$D$41^3*(1-$D$41)^3*$D$41^2/(1-2*$D$41*(1-$D$41)))+T28*(1-($D$41^4*(1+4*(1-$D$41)+10*(1-$D$41)^2)+20*$D$41^3*(1-$D$41)^3*$D$41^2/(1-2*$D$41*(1-$D$41))))</f>
        <v>0.226749318612713</v>
      </c>
      <c r="V28" s="5" t="n">
        <f aca="false">V27*(1-($D$42^4*(1+4*(1-$D$42)+10*(1-$D$42)^2)+20*$D$42^3*(1-$D$42)^3*$D$42^2/(1-2*$D$42*(1-$D$42))))+U28*(1-(1-($D$42^4*(1+4*(1-$D$42)+10*(1-$D$42)^2)+20*$D$42^3*(1-$D$42)^3*$D$42^2/(1-2*$D$42*(1-$D$42)))))</f>
        <v>0.197603260169959</v>
      </c>
      <c r="W28" s="5" t="n">
        <f aca="false">V28*(1-($D$41^4*(1+4*(1-$D$41)+10*(1-$D$41)^2)+20*$D$41^3*(1-$D$41)^3*$D$41^2/(1-2*$D$41*(1-$D$41))))</f>
        <v>0.0254702654928591</v>
      </c>
    </row>
    <row r="29" customFormat="false" ht="15" hidden="false" customHeight="false" outlineLevel="0" collapsed="false">
      <c r="A29" s="0" t="s">
        <v>44</v>
      </c>
      <c r="B29" s="4" t="n">
        <v>0.58</v>
      </c>
      <c r="H29" s="5" t="n">
        <f aca="false">H28*$D$41</f>
        <v>0.0545687021451915</v>
      </c>
      <c r="I29" s="5" t="n">
        <f aca="false">I28*$D$41+H29*(1-$D$41)</f>
        <v>0.193154409500655</v>
      </c>
      <c r="J29" s="5" t="n">
        <f aca="false">J28*(1-$D$42)+I29*(1-(1-$D$42))</f>
        <v>0.250407326795502</v>
      </c>
      <c r="K29" s="5" t="n">
        <f aca="false">K28*(1-$D$42)+J29*(1-(1-$D$42))</f>
        <v>0.279714190528427</v>
      </c>
      <c r="L29" s="5" t="n">
        <f aca="false">L28*$D$41+K29*(1-$D$41)</f>
        <v>0.292010881042126</v>
      </c>
      <c r="M29" s="5" t="n">
        <f aca="false">M28*$D$41+L29*(1-$D$41)</f>
        <v>0.23927969165939</v>
      </c>
      <c r="N29" s="5" t="n">
        <f aca="false">N28*(1-$D$42)+M29*(1-(1-$D$42))</f>
        <v>0.201953335622481</v>
      </c>
      <c r="Q29" s="5" t="n">
        <f aca="false">Q28*(1-($D$42^4*(1+4*(1-$D$42)+10*(1-$D$42)^2)+20*$D$42^3*(1-$D$42)^3*$D$42^2/(1-2*$D$42*(1-$D$42))))</f>
        <v>0.0199622293333443</v>
      </c>
      <c r="R29" s="5" t="n">
        <f aca="false">R28*($D$41^4*(1+4*(1-$D$41)+10*(1-$D$41)^2)+20*$D$41^3*(1-$D$41)^3*$D$41^2/(1-2*$D$41*(1-$D$41)))+Q29*(1-($D$41^4*(1+4*(1-$D$41)+10*(1-$D$41)^2)+20*$D$41^3*(1-$D$41)^3*$D$41^2/(1-2*$D$41*(1-$D$41))))</f>
        <v>0.187365369634173</v>
      </c>
      <c r="S29" s="5" t="n">
        <f aca="false">S28*(1-($D$42^4*(1+4*(1-$D$42)+10*(1-$D$42)^2)+20*$D$42^3*(1-$D$42)^3*$D$42^2/(1-2*$D$42*(1-$D$42))))+R29*(1-(1-($D$42^4*(1+4*(1-$D$42)+10*(1-$D$42)^2)+20*$D$42^3*(1-$D$42)^3*$D$42^2/(1-2*$D$42*(1-$D$42)))))</f>
        <v>0.245349763090493</v>
      </c>
      <c r="T29" s="5" t="n">
        <f aca="false">T28*($D$41^4*(1+4*(1-$D$41)+10*(1-$D$41)^2)+20*$D$41^3*(1-$D$41)^3*$D$41^2/(1-2*$D$41*(1-$D$41)))+S29*(1-($D$41^4*(1+4*(1-$D$41)+10*(1-$D$41)^2)+20*$D$41^3*(1-$D$41)^3*$D$41^2/(1-2*$D$41*(1-$D$41))))</f>
        <v>0.460051639894383</v>
      </c>
      <c r="U29" s="5" t="n">
        <f aca="false">U28*(1-($D$42^4*(1+4*(1-$D$42)+10*(1-$D$42)^2)+20*$D$42^3*(1-$D$42)^3*$D$42^2/(1-2*$D$42*(1-$D$42))))+T29*(1-(1-($D$42^4*(1+4*(1-$D$42)+10*(1-$D$42)^2)+20*$D$42^3*(1-$D$42)^3*$D$42^2/(1-2*$D$42*(1-$D$42)))))</f>
        <v>0.422211427855876</v>
      </c>
      <c r="V29" s="5" t="n">
        <f aca="false">V28*($D$41^4*(1+4*(1-$D$41)+10*(1-$D$41)^2)+20*$D$41^3*(1-$D$41)^3*$D$41^2/(1-2*$D$41*(1-$D$41)))+U29*(1-($D$41^4*(1+4*(1-$D$41)+10*(1-$D$41)^2)+20*$D$41^3*(1-$D$41)^3*$D$41^2/(1-2*$D$41*(1-$D$41))))</f>
        <v>0.226554349630247</v>
      </c>
      <c r="W29" s="5" t="n">
        <f aca="false">V29*(1-(1-($D$42^4*(1+4*(1-$D$42)+10*(1-$D$42)^2)+20*$D$42^3*(1-$D$42)^3*$D$42^2/(1-2*$D$42*(1-$D$42)))))</f>
        <v>0.189808617392527</v>
      </c>
    </row>
    <row r="30" customFormat="false" ht="15" hidden="false" customHeight="false" outlineLevel="0" collapsed="false">
      <c r="A30" s="0" t="s">
        <v>45</v>
      </c>
      <c r="B30" s="4" t="n">
        <v>0.7</v>
      </c>
      <c r="H30" s="5" t="n">
        <f aca="false">H29*$D$41</f>
        <v>0.0369479492594531</v>
      </c>
      <c r="I30" s="5" t="n">
        <f aca="false">I29*(1-$D$42)+H30*(1-(1-$D$42))</f>
        <v>0.0908399230103034</v>
      </c>
      <c r="J30" s="5" t="n">
        <f aca="false">J29*(1-$D$42)+I30*(1-(1-$D$42))</f>
        <v>0.145891438312582</v>
      </c>
      <c r="K30" s="5" t="n">
        <f aca="false">K29*$D$41+J30*(1-$D$41)</f>
        <v>0.23650155114751</v>
      </c>
      <c r="L30" s="5" t="n">
        <f aca="false">L29*$D$41+K30*(1-$D$41)</f>
        <v>0.274086390510475</v>
      </c>
      <c r="M30" s="5" t="n">
        <f aca="false">M29*(1-$D$42)+L30*(1-(1-$D$42))</f>
        <v>0.262077913409464</v>
      </c>
      <c r="N30" s="5" t="n">
        <f aca="false">N29*(1-$D$42)+M30*(1-(1-$D$42))</f>
        <v>0.24133464733152</v>
      </c>
      <c r="Q30" s="5" t="n">
        <f aca="false">Q29*($D$41^4*(1+4*(1-$D$41)+10*(1-$D$41)^2)+20*$D$41^3*(1-$D$41)^3*$D$41^2/(1-2*$D$41*(1-$D$41)))</f>
        <v>0.0173891782586186</v>
      </c>
      <c r="R30" s="5" t="n">
        <f aca="false">R29*(1-($D$42^4*(1+4*(1-$D$42)+10*(1-$D$42)^2)+20*$D$42^3*(1-$D$42)^3*$D$42^2/(1-2*$D$42*(1-$D$42))))+Q30*(1-(1-($D$42^4*(1+4*(1-$D$42)+10*(1-$D$42)^2)+20*$D$42^3*(1-$D$42)^3*$D$42^2/(1-2*$D$42*(1-$D$42)))))</f>
        <v>0.0449582786765418</v>
      </c>
      <c r="S30" s="5" t="n">
        <f aca="false">S29*($D$41^4*(1+4*(1-$D$41)+10*(1-$D$41)^2)+20*$D$41^3*(1-$D$41)^3*$D$41^2/(1-2*$D$41*(1-$D$41)))+R30*(1-($D$41^4*(1+4*(1-$D$41)+10*(1-$D$41)^2)+20*$D$41^3*(1-$D$41)^3*$D$41^2/(1-2*$D$41*(1-$D$41))))</f>
        <v>0.219520106706577</v>
      </c>
      <c r="T30" s="5" t="n">
        <f aca="false">T29*(1-($D$42^4*(1+4*(1-$D$42)+10*(1-$D$42)^2)+20*$D$42^3*(1-$D$42)^3*$D$42^2/(1-2*$D$42*(1-$D$42))))+S30*(1-(1-($D$42^4*(1+4*(1-$D$42)+10*(1-$D$42)^2)+20*$D$42^3*(1-$D$42)^3*$D$42^2/(1-2*$D$42*(1-$D$42)))))</f>
        <v>0.25853285277688</v>
      </c>
      <c r="U30" s="5" t="n">
        <f aca="false">U29*($D$41^4*(1+4*(1-$D$41)+10*(1-$D$41)^2)+20*$D$41^3*(1-$D$41)^3*$D$41^2/(1-2*$D$41*(1-$D$41)))+T30*(1-($D$41^4*(1+4*(1-$D$41)+10*(1-$D$41)^2)+20*$D$41^3*(1-$D$41)^3*$D$41^2/(1-2*$D$41*(1-$D$41))))</f>
        <v>0.401113917829122</v>
      </c>
      <c r="V30" s="5" t="n">
        <f aca="false">V29*(1-($D$42^4*(1+4*(1-$D$42)+10*(1-$D$42)^2)+20*$D$42^3*(1-$D$42)^3*$D$42^2/(1-2*$D$42*(1-$D$42))))+U30*(1-(1-($D$42^4*(1+4*(1-$D$42)+10*(1-$D$42)^2)+20*$D$42^3*(1-$D$42)^3*$D$42^2/(1-2*$D$42*(1-$D$42)))))</f>
        <v>0.372801421675168</v>
      </c>
      <c r="W30" s="5" t="n">
        <f aca="false">V30*(1-($D$41^4*(1+4*(1-$D$41)+10*(1-$D$41)^2)+20*$D$41^3*(1-$D$41)^3*$D$41^2/(1-2*$D$41*(1-$D$41))))</f>
        <v>0.0480526038791812</v>
      </c>
    </row>
    <row r="31" customFormat="false" ht="15" hidden="false" customHeight="false" outlineLevel="0" collapsed="false">
      <c r="A31" s="0" t="s">
        <v>46</v>
      </c>
      <c r="B31" s="4" t="n">
        <v>0.15</v>
      </c>
      <c r="H31" s="5" t="n">
        <f aca="false">H30*(1-$D$42)</f>
        <v>0.0127472187037818</v>
      </c>
      <c r="I31" s="5" t="n">
        <f aca="false">I30*(1-$D$42)+H31*(1-(1-$D$42))</f>
        <v>0.0396895741231508</v>
      </c>
      <c r="J31" s="5" t="n">
        <f aca="false">J30*$D$41+I31*(1-$D$41)</f>
        <v>0.111597846357479</v>
      </c>
      <c r="K31" s="5" t="n">
        <f aca="false">K30*$D$41+J31*(1-$D$41)</f>
        <v>0.196168957002933</v>
      </c>
      <c r="L31" s="5" t="n">
        <f aca="false">L30*(1-$D$42)+K31*(1-(1-$D$42))</f>
        <v>0.223050843160766</v>
      </c>
      <c r="M31" s="5" t="n">
        <f aca="false">M30*(1-$D$42)+L31*(1-(1-$D$42))</f>
        <v>0.236515368521419</v>
      </c>
      <c r="N31" s="5" t="n">
        <f aca="false">N30*$D$41+M31*(1-$D$41)</f>
        <v>0.239778456371099</v>
      </c>
      <c r="Q31" s="5" t="n">
        <f aca="false">Q30*(1-($D$42^4*(1+4*(1-$D$42)+10*(1-$D$42)^2)+20*$D$42^3*(1-$D$42)^3*$D$42^2/(1-2*$D$42*(1-$D$42))))</f>
        <v>0.00282041854048726</v>
      </c>
      <c r="R31" s="5" t="n">
        <f aca="false">R30*($D$41^4*(1+4*(1-$D$41)+10*(1-$D$41)^2)+20*$D$41^3*(1-$D$41)^3*$D$41^2/(1-2*$D$41*(1-$D$41)))</f>
        <v>0.0391633373734046</v>
      </c>
      <c r="S31" s="5" t="n">
        <f aca="false">S30*(1-($D$42^4*(1+4*(1-$D$42)+10*(1-$D$42)^2)+20*$D$42^3*(1-$D$42)^3*$D$42^2/(1-2*$D$42*(1-$D$42))))</f>
        <v>0.0356048209844595</v>
      </c>
      <c r="T31" s="5" t="n">
        <f aca="false">T30*($D$41^4*(1+4*(1-$D$41)+10*(1-$D$41)^2)+20*$D$41^3*(1-$D$41)^3*$D$41^2/(1-2*$D$41*(1-$D$41)))</f>
        <v>0.225209007850487</v>
      </c>
      <c r="U31" s="5" t="n">
        <f aca="false">U30*(1-($D$42^4*(1+4*(1-$D$42)+10*(1-$D$42)^2)+20*$D$42^3*(1-$D$42)^3*$D$42^2/(1-2*$D$42*(1-$D$42))))</f>
        <v>0.0650582283916738</v>
      </c>
      <c r="V31" s="5" t="n">
        <f aca="false">V30*($D$41^4*(1+4*(1-$D$41)+10*(1-$D$41)^2)+20*$D$41^3*(1-$D$41)^3*$D$41^2/(1-2*$D$41*(1-$D$41)))</f>
        <v>0.324748817795987</v>
      </c>
      <c r="W31" s="5" t="n">
        <f aca="false">W30*(1-($D$42^4*(1+4*(1-$D$42)+10*(1-$D$42)^2)+20*$D$42^3*(1-$D$42)^3*$D$42^2/(1-2*$D$42*(1-$D$42))))+V31*(1-(1-($D$42^4*(1+4*(1-$D$42)+10*(1-$D$42)^2)+20*$D$42^3*(1-$D$42)^3*$D$42^2/(1-2*$D$42*(1-$D$42)))))</f>
        <v>0.279870381322038</v>
      </c>
    </row>
    <row r="32" customFormat="false" ht="15" hidden="false" customHeight="false" outlineLevel="0" collapsed="false">
      <c r="A32" s="0" t="s">
        <v>47</v>
      </c>
      <c r="B32" s="4" t="n">
        <v>0.15</v>
      </c>
      <c r="G32" s="5" t="s">
        <v>22</v>
      </c>
      <c r="H32" s="5" t="n">
        <f aca="false">H31*(1-$D$42)+I31*$D$41+J31*$D$41+K31*(1-$D$42)+L31*(1-$D$42)+M31*$D$41+N31*($D$41*(1-$D$42))/(($D$41*(1-$D$42))+((1-$D$41)*$D$42))</f>
        <v>0.537448876065646</v>
      </c>
      <c r="P32" s="5" t="s">
        <v>23</v>
      </c>
      <c r="Q32" s="5" t="n">
        <f aca="false">Q31+R31+S31+T31+U31+V31*(1-($D$42^4*(1+4*(1-$D$42)+10*(1-$D$42)^2)+20*$D$42^3*(1-$D$42)^3*$D$42^2/(1-2*$D$42*(1-$D$42))))+W31*H32</f>
        <v>0.570944110454598</v>
      </c>
    </row>
    <row r="34" customFormat="false" ht="15" hidden="false" customHeight="false" outlineLevel="0" collapsed="false">
      <c r="A34" s="3" t="s">
        <v>48</v>
      </c>
      <c r="G34" s="3" t="s">
        <v>49</v>
      </c>
      <c r="P34" s="3" t="s">
        <v>50</v>
      </c>
    </row>
    <row r="35" customFormat="false" ht="15" hidden="false" customHeight="false" outlineLevel="0" collapsed="false">
      <c r="A35" s="0" t="s">
        <v>51</v>
      </c>
      <c r="B35" s="0" t="n">
        <f aca="false">$B$4+$B$6+$B$11*($B$7-$B$10)</f>
        <v>0.686177798093294</v>
      </c>
      <c r="H35" s="0" t="n">
        <v>1</v>
      </c>
      <c r="I35" s="0" t="n">
        <f aca="false">H35*(1-$B$43)</f>
        <v>0.327909510269361</v>
      </c>
      <c r="J35" s="0" t="n">
        <f aca="false">I35*(1-(1-$B$44))</f>
        <v>0.216418712937382</v>
      </c>
      <c r="K35" s="0" t="n">
        <f aca="false">J35*(1-(1-$B$44))</f>
        <v>0.142835318411469</v>
      </c>
      <c r="L35" s="0" t="n">
        <f aca="false">K35*(1-$B$43)</f>
        <v>0.0468370593094731</v>
      </c>
      <c r="M35" s="0" t="n">
        <f aca="false">L35*(1-$B$43)</f>
        <v>0.0153583171806263</v>
      </c>
      <c r="N35" s="0" t="n">
        <f aca="false">M35*(1-(1-$B$44))</f>
        <v>0.010136416093528</v>
      </c>
      <c r="Q35" s="0" t="n">
        <v>1</v>
      </c>
      <c r="R35" s="0" t="n">
        <f aca="false">Q35*(1-($B$43^4*(1+4*(1-$B$43)+10*(1-$B$43)^2)+20*$B$43^3*(1-$B$43)^3*$B$43^2/(1-2*$B$43*(1-$B$43))))</f>
        <v>0.136028987272093</v>
      </c>
      <c r="S35" s="0" t="n">
        <f aca="false">R35*(1-(1-($B$44^4*(1+4*(1-$B$44)+10*(1-$B$44)^2)+20*$B$44^3*(1-$B$44)^3*$B$44^2/(1-2*$B$44*(1-$B$44)))))</f>
        <v>0.115045497975761</v>
      </c>
      <c r="T35" s="0" t="n">
        <f aca="false">S35*(1-($B$43^4*(1+4*(1-$B$43)+10*(1-$B$43)^2)+20*$B$43^3*(1-$B$43)^3*$B$43^2/(1-2*$B$43*(1-$B$43))))</f>
        <v>0.0156495225798564</v>
      </c>
      <c r="U35" s="0" t="n">
        <f aca="false">T35*(1-(1-($B$44^4*(1+4*(1-$B$44)+10*(1-$B$44)^2)+20*$B$44^3*(1-$B$44)^3*$B$44^2/(1-2*$B$44*(1-$B$44)))))</f>
        <v>0.0132354666044909</v>
      </c>
      <c r="V35" s="0" t="n">
        <f aca="false">U35*(1-($B$43^4*(1+4*(1-$B$43)+10*(1-$B$43)^2)+20*$B$43^3*(1-$B$43)^3*$B$43^2/(1-2*$B$43*(1-$B$43))))</f>
        <v>0.0018004071182825</v>
      </c>
      <c r="W35" s="0" t="n">
        <f aca="false">V35*(1-(1-($B$44^4*(1+4*(1-$B$44)+10*(1-$B$44)^2)+20*$B$44^3*(1-$B$44)^3*$B$44^2/(1-2*$B$44*(1-$B$44)))))</f>
        <v>0.00152268084645521</v>
      </c>
    </row>
    <row r="36" customFormat="false" ht="15" hidden="false" customHeight="false" outlineLevel="0" collapsed="false">
      <c r="A36" s="0" t="s">
        <v>52</v>
      </c>
      <c r="B36" s="0" t="n">
        <f aca="false">$B$5+$B$6+$B$11*($B$9-$B$8)</f>
        <v>0.656868581878066</v>
      </c>
      <c r="H36" s="0" t="n">
        <f aca="false">H35*$B$43</f>
        <v>0.672090489730639</v>
      </c>
      <c r="I36" s="0" t="n">
        <f aca="false">I35*(1-$B$44)+H36*(1-(1-$B$44))</f>
        <v>0.55506731527279</v>
      </c>
      <c r="J36" s="0" t="n">
        <f aca="false">J35*(1-$B$44)+I36*(1-(1-$B$44))</f>
        <v>0.439925175422317</v>
      </c>
      <c r="K36" s="0" t="n">
        <f aca="false">K35*$B$43+J36*(1-$B$43)</f>
        <v>0.240253907929891</v>
      </c>
      <c r="L36" s="0" t="n">
        <f aca="false">L35*$B$43+K36*(1-$B$43)</f>
        <v>0.110260283418437</v>
      </c>
      <c r="M36" s="0" t="n">
        <f aca="false">M35*(1-$B$44)+L36*(1-(1-$B$44))</f>
        <v>0.077993162298545</v>
      </c>
      <c r="N36" s="0" t="n">
        <f aca="false">N35*(1-$B$44)+M36*(1-(1-$B$44))</f>
        <v>0.0549215449717512</v>
      </c>
      <c r="Q36" s="0" t="n">
        <f aca="false">Q35*($B$43^4*(1+4*(1-$B$43)+10*(1-$B$43)^2)+20*$B$43^3*(1-$B$43)^3*$B$43^2/(1-2*$B$43*(1-$B$43)))</f>
        <v>0.863971012727907</v>
      </c>
      <c r="R36" s="0" t="n">
        <f aca="false">R35*(1-($B$44^4*(1+4*(1-$B$44)+10*(1-$B$44)^2)+20*$B$44^3*(1-$B$44)^3*$B$44^2/(1-2*$B$44*(1-$B$44))))+Q36*(1-(1-($B$44^4*(1+4*(1-$B$44)+10*(1-$B$44)^2)+20*$B$44^3*(1-$B$44)^3*$B$44^2/(1-2*$B$44*(1-$B$44)))))</f>
        <v>0.751680507550885</v>
      </c>
      <c r="S36" s="0" t="n">
        <f aca="false">S35*($B$43^4*(1+4*(1-$B$43)+10*(1-$B$43)^2)+20*$B$43^3*(1-$B$43)^3*$B$43^2/(1-2*$B$43*(1-$B$43)))+R36*(1-($B$43^4*(1+4*(1-$B$43)+10*(1-$B$43)^2)+20*$B$43^3*(1-$B$43)^3*$B$43^2/(1-2*$B$43*(1-$B$43))))</f>
        <v>0.201646313590224</v>
      </c>
      <c r="T36" s="0" t="n">
        <f aca="false">T35*(1-($B$44^4*(1+4*(1-$B$44)+10*(1-$B$44)^2)+20*$B$44^3*(1-$B$44)^3*$B$44^2/(1-2*$B$44*(1-$B$44))))+S36*(1-(1-($B$44^4*(1+4*(1-$B$44)+10*(1-$B$44)^2)+20*$B$44^3*(1-$B$44)^3*$B$44^2/(1-2*$B$44*(1-$B$44)))))</f>
        <v>0.172954916619729</v>
      </c>
      <c r="U36" s="0" t="n">
        <f aca="false">U35*($B$43^4*(1+4*(1-$B$43)+10*(1-$B$43)^2)+20*$B$43^3*(1-$B$43)^3*$B$43^2/(1-2*$B$43*(1-$B$43)))+T36*(1-($B$43^4*(1+4*(1-$B$43)+10*(1-$B$43)^2)+20*$B$43^3*(1-$B$43)^3*$B$43^2/(1-2*$B$43*(1-$B$43))))</f>
        <v>0.0349619416377193</v>
      </c>
      <c r="V36" s="0" t="n">
        <f aca="false">V35*(1-($B$44^4*(1+4*(1-$B$44)+10*(1-$B$44)^2)+20*$B$44^3*(1-$B$44)^3*$B$44^2/(1-2*$B$44*(1-$B$44))))+U36*(1-(1-($B$44^4*(1+4*(1-$B$44)+10*(1-$B$44)^2)+20*$B$44^3*(1-$B$44)^3*$B$44^2/(1-2*$B$44*(1-$B$44)))))</f>
        <v>0.0298465267648095</v>
      </c>
      <c r="W36" s="0" t="n">
        <f aca="false">V36*(1-($B$43^4*(1+4*(1-$B$43)+10*(1-$B$43)^2)+20*$B$43^3*(1-$B$43)^3*$B$43^2/(1-2*$B$43*(1-$B$43))))</f>
        <v>0.00405999280940644</v>
      </c>
    </row>
    <row r="37" customFormat="false" ht="15" hidden="false" customHeight="false" outlineLevel="0" collapsed="false">
      <c r="A37" s="0" t="s">
        <v>53</v>
      </c>
      <c r="B37" s="0" t="n">
        <f aca="false">(1-$B$12)*$B$35+$B$12*($B$13+$B$6)*($B$12&gt;0)+$B$12*$B$35*($B$12=0)</f>
        <v>0.677090489730639</v>
      </c>
      <c r="H37" s="0" t="n">
        <f aca="false">H36*(1-$B$44)</f>
        <v>0.228513971789828</v>
      </c>
      <c r="I37" s="0" t="n">
        <f aca="false">I36*(1-$B$44)+H37*(1-(1-$B$44))</f>
        <v>0.339543665946706</v>
      </c>
      <c r="J37" s="0" t="n">
        <f aca="false">J36*$B$43+I37*(1-$B$43)</f>
        <v>0.40700912381007</v>
      </c>
      <c r="K37" s="0" t="n">
        <f aca="false">K36*$B$43+J37*(1-$B$43)</f>
        <v>0.294934529104022</v>
      </c>
      <c r="L37" s="0" t="n">
        <f aca="false">L36*(1-$B$44)+K37*(1-(1-$B$44))</f>
        <v>0.232144404836951</v>
      </c>
      <c r="M37" s="0" t="n">
        <f aca="false">M36*(1-$B$44)+L37*(1-(1-$B$44))</f>
        <v>0.179732247207841</v>
      </c>
      <c r="N37" s="0" t="n">
        <f aca="false">N36*$B$43+M37*(1-$B$43)</f>
        <v>0.0958481612183623</v>
      </c>
      <c r="Q37" s="0" t="n">
        <f aca="false">Q36*(1-($B$44^4*(1+4*(1-$B$44)+10*(1-$B$44)^2)+20*$B$44^3*(1-$B$44)^3*$B$44^2/(1-2*$B$44*(1-$B$44))))</f>
        <v>0.133273994473354</v>
      </c>
      <c r="R37" s="0" t="n">
        <f aca="false">R36*($B$43^4*(1+4*(1-$B$43)+10*(1-$B$43)^2)+20*$B$43^3*(1-$B$43)^3*$B$43^2/(1-2*$B$43*(1-$B$43)))+Q37*(1-($B$43^4*(1+4*(1-$B$43)+10*(1-$B$43)^2)+20*$B$43^3*(1-$B$43)^3*$B$43^2/(1-2*$B$43*(1-$B$43))))</f>
        <v>0.667559295854482</v>
      </c>
      <c r="S37" s="0" t="n">
        <f aca="false">S36*(1-($B$44^4*(1+4*(1-$B$44)+10*(1-$B$44)^2)+20*$B$44^3*(1-$B$44)^3*$B$44^2/(1-2*$B$44*(1-$B$44))))+R37*(1-(1-($B$44^4*(1+4*(1-$B$44)+10*(1-$B$44)^2)+20*$B$44^3*(1-$B$44)^3*$B$44^2/(1-2*$B$44*(1-$B$44)))))</f>
        <v>0.595688731554768</v>
      </c>
      <c r="T37" s="0" t="n">
        <f aca="false">T36*($B$43^4*(1+4*(1-$B$43)+10*(1-$B$43)^2)+20*$B$43^3*(1-$B$43)^3*$B$43^2/(1-2*$B$43*(1-$B$43)))+S37*(1-($B$43^4*(1+4*(1-$B$43)+10*(1-$B$43)^2)+20*$B$43^3*(1-$B$43)^3*$B$43^2/(1-2*$B$43*(1-$B$43))))</f>
        <v>0.230458969351011</v>
      </c>
      <c r="U37" s="0" t="n">
        <f aca="false">U36*(1-($B$44^4*(1+4*(1-$B$44)+10*(1-$B$44)^2)+20*$B$44^3*(1-$B$44)^3*$B$44^2/(1-2*$B$44*(1-$B$44))))+T37*(1-(1-($B$44^4*(1+4*(1-$B$44)+10*(1-$B$44)^2)+20*$B$44^3*(1-$B$44)^3*$B$44^2/(1-2*$B$44*(1-$B$44)))))</f>
        <v>0.200302089771506</v>
      </c>
      <c r="V37" s="0" t="n">
        <f aca="false">V36*($B$43^4*(1+4*(1-$B$43)+10*(1-$B$43)^2)+20*$B$43^3*(1-$B$43)^3*$B$43^2/(1-2*$B$43*(1-$B$43)))+U37*(1-($B$43^4*(1+4*(1-$B$43)+10*(1-$B$43)^2)+20*$B$43^3*(1-$B$43)^3*$B$43^2/(1-2*$B$43*(1-$B$43))))</f>
        <v>0.0530334243755048</v>
      </c>
      <c r="W37" s="0" t="n">
        <f aca="false">V37*(1-(1-($B$44^4*(1+4*(1-$B$44)+10*(1-$B$44)^2)+20*$B$44^3*(1-$B$44)^3*$B$44^2/(1-2*$B$44*(1-$B$44)))))</f>
        <v>0.0448526217756495</v>
      </c>
    </row>
    <row r="38" customFormat="false" ht="15" hidden="false" customHeight="false" outlineLevel="0" collapsed="false">
      <c r="A38" s="0" t="s">
        <v>54</v>
      </c>
      <c r="B38" s="0" t="n">
        <f aca="false">(1-$B$14)*$B$36+$B$14*($B$15+$B$6)*($B$14&gt;0)+$B$14*$B$36*($B$14=0)</f>
        <v>0.654995230878193</v>
      </c>
      <c r="H38" s="0" t="n">
        <f aca="false">H37*(1-$B$44)</f>
        <v>0.0776958402195074</v>
      </c>
      <c r="I38" s="0" t="n">
        <f aca="false">I37*$B$43+H38*(1-$B$43)</f>
        <v>0.253681273647404</v>
      </c>
      <c r="J38" s="0" t="n">
        <f aca="false">J37*$B$43+I38*(1-$B$43)</f>
        <v>0.356731463552576</v>
      </c>
      <c r="K38" s="0" t="n">
        <f aca="false">K37*(1-$B$44)+J38*(1-(1-$B$44))</f>
        <v>0.33572021112296</v>
      </c>
      <c r="L38" s="0" t="n">
        <f aca="false">L37*(1-$B$44)+K38*(1-(1-$B$44))</f>
        <v>0.300503943020081</v>
      </c>
      <c r="M38" s="0" t="n">
        <f aca="false">M37*$B$43+L38*(1-$B$43)</f>
        <v>0.219334434836033</v>
      </c>
      <c r="N38" s="0" t="n">
        <f aca="false">N37*$B$43+M38*(1-$B$43)</f>
        <v>0.136340484725321</v>
      </c>
      <c r="Q38" s="0" t="n">
        <f aca="false">Q37*($B$43^4*(1+4*(1-$B$43)+10*(1-$B$43)^2)+20*$B$43^3*(1-$B$43)^3*$B$43^2/(1-2*$B$43*(1-$B$43)))</f>
        <v>0.115144867975437</v>
      </c>
      <c r="R38" s="0" t="n">
        <f aca="false">R37*(1-($B$44^4*(1+4*(1-$B$44)+10*(1-$B$44)^2)+20*$B$44^3*(1-$B$44)^3*$B$44^2/(1-2*$B$44*(1-$B$44))))+Q38*(1-(1-($B$44^4*(1+4*(1-$B$44)+10*(1-$B$44)^2)+20*$B$44^3*(1-$B$44)^3*$B$44^2/(1-2*$B$44*(1-$B$44)))))</f>
        <v>0.200358927618129</v>
      </c>
      <c r="S38" s="0" t="n">
        <f aca="false">S37*($B$43^4*(1+4*(1-$B$43)+10*(1-$B$43)^2)+20*$B$43^3*(1-$B$43)^3*$B$43^2/(1-2*$B$43*(1-$B$43)))+R38*(1-($B$43^4*(1+4*(1-$B$43)+10*(1-$B$43)^2)+20*$B$43^3*(1-$B$43)^3*$B$43^2/(1-2*$B$43*(1-$B$43))))</f>
        <v>0.541912418686792</v>
      </c>
      <c r="T38" s="0" t="n">
        <f aca="false">T37*(1-($B$44^4*(1+4*(1-$B$44)+10*(1-$B$44)^2)+20*$B$44^3*(1-$B$44)^3*$B$44^2/(1-2*$B$44*(1-$B$44))))+S38*(1-(1-($B$44^4*(1+4*(1-$B$44)+10*(1-$B$44)^2)+20*$B$44^3*(1-$B$44)^3*$B$44^2/(1-2*$B$44*(1-$B$44)))))</f>
        <v>0.493868393280865</v>
      </c>
      <c r="U38" s="0" t="n">
        <f aca="false">U37*($B$43^4*(1+4*(1-$B$43)+10*(1-$B$43)^2)+20*$B$43^3*(1-$B$43)^3*$B$43^2/(1-2*$B$43*(1-$B$43)))+T38*(1-($B$43^4*(1+4*(1-$B$43)+10*(1-$B$43)^2)+20*$B$43^3*(1-$B$43)^3*$B$43^2/(1-2*$B$43*(1-$B$43))))</f>
        <v>0.240235616735096</v>
      </c>
      <c r="V38" s="0" t="n">
        <f aca="false">V37*(1-($B$44^4*(1+4*(1-$B$44)+10*(1-$B$44)^2)+20*$B$44^3*(1-$B$44)^3*$B$44^2/(1-2*$B$44*(1-$B$44))))+U38*(1-(1-($B$44^4*(1+4*(1-$B$44)+10*(1-$B$44)^2)+20*$B$44^3*(1-$B$44)^3*$B$44^2/(1-2*$B$44*(1-$B$44)))))</f>
        <v>0.211358277585537</v>
      </c>
      <c r="W38" s="0" t="n">
        <f aca="false">V38*(1-($B$43^4*(1+4*(1-$B$43)+10*(1-$B$43)^2)+20*$B$43^3*(1-$B$43)^3*$B$43^2/(1-2*$B$43*(1-$B$43))))</f>
        <v>0.0287508524515344</v>
      </c>
    </row>
    <row r="39" customFormat="false" ht="15" hidden="false" customHeight="false" outlineLevel="0" collapsed="false">
      <c r="H39" s="0" t="n">
        <f aca="false">H38*$B$43</f>
        <v>0.0522186353031622</v>
      </c>
      <c r="I39" s="0" t="n">
        <f aca="false">I38*$B$43+H39*(1-$B$43)</f>
        <v>0.18761975857037</v>
      </c>
      <c r="J39" s="0" t="n">
        <f aca="false">J38*(1-$B$44)+I39*(1-(1-$B$44))</f>
        <v>0.24511854477864</v>
      </c>
      <c r="K39" s="0" t="n">
        <f aca="false">K38*(1-$B$44)+J39*(1-(1-$B$44))</f>
        <v>0.275923543426092</v>
      </c>
      <c r="L39" s="0" t="n">
        <f aca="false">L38*$B$43+K39*(1-$B$43)</f>
        <v>0.292443796226991</v>
      </c>
      <c r="M39" s="0" t="n">
        <f aca="false">M38*$B$43+L39*(1-$B$43)</f>
        <v>0.243307689725847</v>
      </c>
      <c r="N39" s="0" t="n">
        <f aca="false">N38*(1-$B$44)+M39*(1-(1-$B$44))</f>
        <v>0.206938329886038</v>
      </c>
      <c r="Q39" s="0" t="n">
        <f aca="false">Q38*(1-($B$44^4*(1+4*(1-$B$44)+10*(1-$B$44)^2)+20*$B$44^3*(1-$B$44)^3*$B$44^2/(1-2*$B$44*(1-$B$44))))</f>
        <v>0.0177619576028836</v>
      </c>
      <c r="R39" s="0" t="n">
        <f aca="false">R38*($B$43^4*(1+4*(1-$B$43)+10*(1-$B$43)^2)+20*$B$43^3*(1-$B$43)^3*$B$43^2/(1-2*$B$43*(1-$B$43)))+Q39*(1-($B$43^4*(1+4*(1-$B$43)+10*(1-$B$43)^2)+20*$B$43^3*(1-$B$43)^3*$B$43^2/(1-2*$B$43*(1-$B$43))))</f>
        <v>0.175520446708002</v>
      </c>
      <c r="S39" s="0" t="n">
        <f aca="false">S38*(1-($B$44^4*(1+4*(1-$B$44)+10*(1-$B$44)^2)+20*$B$44^3*(1-$B$44)^3*$B$44^2/(1-2*$B$44*(1-$B$44))))+R39*(1-(1-($B$44^4*(1+4*(1-$B$44)+10*(1-$B$44)^2)+20*$B$44^3*(1-$B$44)^3*$B$44^2/(1-2*$B$44*(1-$B$44)))))</f>
        <v>0.232039150378864</v>
      </c>
      <c r="T39" s="0" t="n">
        <f aca="false">T38*($B$43^4*(1+4*(1-$B$43)+10*(1-$B$43)^2)+20*$B$43^3*(1-$B$43)^3*$B$43^2/(1-2*$B$43*(1-$B$43)))+S39*(1-($B$43^4*(1+4*(1-$B$43)+10*(1-$B$43)^2)+20*$B$43^3*(1-$B$43)^3*$B$43^2/(1-2*$B$43*(1-$B$43))))</f>
        <v>0.458252026530687</v>
      </c>
      <c r="U39" s="0" t="n">
        <f aca="false">U38*(1-($B$44^4*(1+4*(1-$B$44)+10*(1-$B$44)^2)+20*$B$44^3*(1-$B$44)^3*$B$44^2/(1-2*$B$44*(1-$B$44))))+T39*(1-(1-($B$44^4*(1+4*(1-$B$44)+10*(1-$B$44)^2)+20*$B$44^3*(1-$B$44)^3*$B$44^2/(1-2*$B$44*(1-$B$44)))))</f>
        <v>0.424621363735118</v>
      </c>
      <c r="V39" s="0" t="n">
        <f aca="false">V38*($B$43^4*(1+4*(1-$B$43)+10*(1-$B$43)^2)+20*$B$43^3*(1-$B$43)^3*$B$43^2/(1-2*$B$43*(1-$B$43)))+U39*(1-($B$43^4*(1+4*(1-$B$43)+10*(1-$B$43)^2)+20*$B$43^3*(1-$B$43)^3*$B$43^2/(1-2*$B$43*(1-$B$43))))</f>
        <v>0.240368239216985</v>
      </c>
      <c r="W39" s="0" t="n">
        <f aca="false">V39*(1-(1-($B$44^4*(1+4*(1-$B$44)+10*(1-$B$44)^2)+20*$B$44^3*(1-$B$44)^3*$B$44^2/(1-2*$B$44*(1-$B$44)))))</f>
        <v>0.203289639457223</v>
      </c>
    </row>
    <row r="40" customFormat="false" ht="15" hidden="false" customHeight="false" outlineLevel="0" collapsed="false">
      <c r="A40" s="3" t="s">
        <v>55</v>
      </c>
      <c r="B40" s="5" t="s">
        <v>56</v>
      </c>
      <c r="C40" s="5" t="s">
        <v>57</v>
      </c>
      <c r="D40" s="5" t="s">
        <v>58</v>
      </c>
      <c r="H40" s="5" t="n">
        <f aca="false">H39*$B$43</f>
        <v>0.0350956481739679</v>
      </c>
      <c r="I40" s="5" t="n">
        <f aca="false">I39*(1-$B$44)+H40*(1-(1-$B$44))</f>
        <v>0.0869545731148055</v>
      </c>
      <c r="J40" s="5" t="n">
        <f aca="false">J39*(1-$B$44)+I40*(1-(1-$B$44))</f>
        <v>0.140731077783756</v>
      </c>
      <c r="K40" s="5" t="n">
        <f aca="false">K39*$B$43+J40*(1-$B$43)</f>
        <v>0.231592648225206</v>
      </c>
      <c r="L40" s="5" t="n">
        <f aca="false">L39*$B$43+K40*(1-$B$43)</f>
        <v>0.272490126086397</v>
      </c>
      <c r="M40" s="5" t="n">
        <f aca="false">M39*(1-$B$44)+L40*(1-(1-$B$44))</f>
        <v>0.262567958549216</v>
      </c>
      <c r="N40" s="5" t="n">
        <f aca="false">N39*(1-$B$44)+M40*(1-(1-$B$44))</f>
        <v>0.243653619499261</v>
      </c>
      <c r="Q40" s="5" t="n">
        <f aca="false">Q39*($B$43^4*(1+4*(1-$B$43)+10*(1-$B$43)^2)+20*$B$43^3*(1-$B$43)^3*$B$43^2/(1-2*$B$43*(1-$B$43)))</f>
        <v>0.0153458164981935</v>
      </c>
      <c r="R40" s="5" t="n">
        <f aca="false">R39*(1-($B$44^4*(1+4*(1-$B$44)+10*(1-$B$44)^2)+20*$B$44^3*(1-$B$44)^3*$B$44^2/(1-2*$B$44*(1-$B$44))))+Q40*(1-(1-($B$44^4*(1+4*(1-$B$44)+10*(1-$B$44)^2)+20*$B$44^3*(1-$B$44)^3*$B$44^2/(1-2*$B$44*(1-$B$44)))))</f>
        <v>0.0400539519180985</v>
      </c>
      <c r="S40" s="5" t="n">
        <f aca="false">S39*($B$43^4*(1+4*(1-$B$43)+10*(1-$B$43)^2)+20*$B$43^3*(1-$B$43)^3*$B$43^2/(1-2*$B$43*(1-$B$43)))+R40*(1-($B$43^4*(1+4*(1-$B$43)+10*(1-$B$43)^2)+20*$B$43^3*(1-$B$43)^3*$B$43^2/(1-2*$B$43*(1-$B$43))))</f>
        <v>0.205923598261014</v>
      </c>
      <c r="T40" s="5" t="n">
        <f aca="false">T39*(1-($B$44^4*(1+4*(1-$B$44)+10*(1-$B$44)^2)+20*$B$44^3*(1-$B$44)^3*$B$44^2/(1-2*$B$44*(1-$B$44))))+S40*(1-(1-($B$44^4*(1+4*(1-$B$44)+10*(1-$B$44)^2)+20*$B$44^3*(1-$B$44)^3*$B$44^2/(1-2*$B$44*(1-$B$44)))))</f>
        <v>0.244847146689453</v>
      </c>
      <c r="U40" s="5" t="n">
        <f aca="false">U39*($B$43^4*(1+4*(1-$B$43)+10*(1-$B$43)^2)+20*$B$43^3*(1-$B$43)^3*$B$43^2/(1-2*$B$43*(1-$B$43)))+T40*(1-($B$43^4*(1+4*(1-$B$43)+10*(1-$B$43)^2)+20*$B$43^3*(1-$B$43)^3*$B$43^2/(1-2*$B$43*(1-$B$43))))</f>
        <v>0.400166859052763</v>
      </c>
      <c r="V40" s="5" t="n">
        <f aca="false">V39*(1-($B$44^4*(1+4*(1-$B$44)+10*(1-$B$44)^2)+20*$B$44^3*(1-$B$44)^3*$B$44^2/(1-2*$B$44*(1-$B$44))))+U40*(1-(1-($B$44^4*(1+4*(1-$B$44)+10*(1-$B$44)^2)+20*$B$44^3*(1-$B$44)^3*$B$44^2/(1-2*$B$44*(1-$B$44)))))</f>
        <v>0.375516726047028</v>
      </c>
      <c r="W40" s="5" t="n">
        <f aca="false">V40*(1-($B$43^4*(1+4*(1-$B$43)+10*(1-$B$43)^2)+20*$B$43^3*(1-$B$43)^3*$B$43^2/(1-2*$B$43*(1-$B$43))))</f>
        <v>0.0510811599479091</v>
      </c>
    </row>
    <row r="41" customFormat="false" ht="15" hidden="false" customHeight="false" outlineLevel="0" collapsed="false">
      <c r="A41" s="0" t="s">
        <v>59</v>
      </c>
      <c r="B41" s="0" t="n">
        <f aca="false">$B$37-0*($B$23*$B$17-(1-$B$23)*$B$20)</f>
        <v>0.677090489730639</v>
      </c>
      <c r="C41" s="0" t="n">
        <f aca="false">$B$37-0*($B$23*$B$18-(1-$B$23)*$B$21)</f>
        <v>0.677090489730639</v>
      </c>
      <c r="D41" s="0" t="n">
        <f aca="false">$B$37-0*($B$23*$B$19-(1-$B$23)*$B$22)+$B$24*($B$25*1+(1-$B$25)*0)</f>
        <v>0.677090489730639</v>
      </c>
      <c r="H41" s="0" t="n">
        <f aca="false">H40*(1-$B$44)</f>
        <v>0.0119326877545701</v>
      </c>
      <c r="I41" s="0" t="n">
        <f aca="false">I40*(1-$B$44)+H41*(1-(1-$B$44))</f>
        <v>0.0374404865655596</v>
      </c>
      <c r="J41" s="0" t="n">
        <f aca="false">J40*$B$43+I41*(1-$B$43)</f>
        <v>0.106861110601964</v>
      </c>
      <c r="K41" s="0" t="n">
        <f aca="false">K40*$B$43+J41*(1-$B$43)</f>
        <v>0.190691990808024</v>
      </c>
      <c r="L41" s="0" t="n">
        <f aca="false">L40*(1-$B$44)+K41*(1-(1-$B$44))</f>
        <v>0.218503746907942</v>
      </c>
      <c r="M41" s="0" t="n">
        <f aca="false">M40*(1-$B$44)+L41*(1-(1-$B$44))</f>
        <v>0.233485789013568</v>
      </c>
      <c r="N41" s="0" t="n">
        <f aca="false">N40*$B$43+M41*(1-$B$43)</f>
        <v>0.240319491184195</v>
      </c>
      <c r="Q41" s="0" t="n">
        <f aca="false">Q40*(1-($B$44^4*(1+4*(1-$B$44)+10*(1-$B$44)^2)+20*$B$44^3*(1-$B$44)^3*$B$44^2/(1-2*$B$44*(1-$B$44))))</f>
        <v>0.00236720703940265</v>
      </c>
      <c r="R41" s="0" t="n">
        <f aca="false">R40*($B$43^4*(1+4*(1-$B$43)+10*(1-$B$43)^2)+20*$B$43^3*(1-$B$43)^3*$B$43^2/(1-2*$B$43*(1-$B$43)))</f>
        <v>0.0346054534024344</v>
      </c>
      <c r="S41" s="0" t="n">
        <f aca="false">S40*(1-($B$44^4*(1+4*(1-$B$44)+10*(1-$B$44)^2)+20*$B$44^3*(1-$B$44)^3*$B$44^2/(1-2*$B$44*(1-$B$44))))</f>
        <v>0.0317652561165436</v>
      </c>
      <c r="T41" s="0" t="n">
        <f aca="false">T40*($B$43^4*(1+4*(1-$B$43)+10*(1-$B$43)^2)+20*$B$43^3*(1-$B$43)^3*$B$43^2/(1-2*$B$43*(1-$B$43)))</f>
        <v>0.211540837288825</v>
      </c>
      <c r="U41" s="0" t="n">
        <f aca="false">U40*(1-($B$44^4*(1+4*(1-$B$44)+10*(1-$B$44)^2)+20*$B$44^3*(1-$B$44)^3*$B$44^2/(1-2*$B$44*(1-$B$44))))</f>
        <v>0.0617287327654977</v>
      </c>
      <c r="V41" s="0" t="n">
        <f aca="false">V40*($B$43^4*(1+4*(1-$B$43)+10*(1-$B$43)^2)+20*$B$43^3*(1-$B$43)^3*$B$43^2/(1-2*$B$43*(1-$B$43)))</f>
        <v>0.324435566099119</v>
      </c>
      <c r="W41" s="0" t="n">
        <f aca="false">W40*(1-($B$44^4*(1+4*(1-$B$44)+10*(1-$B$44)^2)+20*$B$44^3*(1-$B$44)^3*$B$44^2/(1-2*$B$44*(1-$B$44))))+V41*(1-(1-($B$44^4*(1+4*(1-$B$44)+10*(1-$B$44)^2)+20*$B$44^3*(1-$B$44)^3*$B$44^2/(1-2*$B$44*(1-$B$44)))))</f>
        <v>0.282268603228876</v>
      </c>
    </row>
    <row r="42" customFormat="false" ht="15" hidden="false" customHeight="false" outlineLevel="0" collapsed="false">
      <c r="A42" s="0" t="s">
        <v>60</v>
      </c>
      <c r="B42" s="0" t="n">
        <f aca="false">$B$38-0*((1-$B$23)*$B$17-$B$23*$B$20)</f>
        <v>0.654995230878193</v>
      </c>
      <c r="C42" s="0" t="n">
        <f aca="false">$B$38-0*((1-$B$23)*$B$18-$B$23*$B$21)</f>
        <v>0.654995230878193</v>
      </c>
      <c r="D42" s="0" t="n">
        <f aca="false">$B$38-0*((1-$B$23)*$B$19-$B$23*$B$22)+$B$24*($B$25*0+(1-$B$25)*1)</f>
        <v>0.654995230878193</v>
      </c>
      <c r="G42" s="0" t="s">
        <v>22</v>
      </c>
      <c r="H42" s="0" t="n">
        <f aca="false">H41*(1-$B$44)+I41*$B$43+J41*$B$43+K41*(1-$B$44)+L41*(1-$B$44)+M41*$B$43+N41*($B$43*(1-$B$44))/(($B$43*(1-$B$44))+((1-$B$43)*$B$44))</f>
        <v>0.520519206957342</v>
      </c>
      <c r="P42" s="0" t="s">
        <v>23</v>
      </c>
      <c r="Q42" s="0" t="n">
        <f aca="false">Q41+R41+S41+T41+U41+V41*(1-($B$44^4*(1+4*(1-$B$44)+10*(1-$B$44)^2)+20*$B$44^3*(1-$B$44)^3*$B$44^2/(1-2*$B$44*(1-$B$44))))+W41*H42</f>
        <v>0.538980330186199</v>
      </c>
    </row>
    <row r="43" customFormat="false" ht="15" hidden="false" customHeight="false" outlineLevel="0" collapsed="false">
      <c r="A43" s="0" t="s">
        <v>61</v>
      </c>
      <c r="B43" s="0" t="n">
        <f aca="false">$B$37-1*($B$23*$B$17-(1-$B$23)*$B$20)</f>
        <v>0.672090489730639</v>
      </c>
      <c r="C43" s="0" t="n">
        <f aca="false">$B$37-1*($B$23*$B$18-(1-$B$23)*$B$21)</f>
        <v>0.657090489730639</v>
      </c>
      <c r="D43" s="0" t="n">
        <f aca="false">$B$37-1*($B$23*$B$19-(1-$B$23)*$B$22)+$B$24*($B$25*1+(1-$B$25)*0)</f>
        <v>0.647090489730639</v>
      </c>
    </row>
    <row r="44" customFormat="false" ht="15" hidden="false" customHeight="false" outlineLevel="0" collapsed="false">
      <c r="A44" s="0" t="s">
        <v>62</v>
      </c>
      <c r="B44" s="0" t="n">
        <f aca="false">$B$38-1*((1-$B$23)*$B$17-$B$23*$B$20)</f>
        <v>0.659995230878194</v>
      </c>
      <c r="C44" s="0" t="n">
        <f aca="false">$B$38-1*((1-$B$23)*$B$18-$B$23*$B$21)</f>
        <v>0.669995230878194</v>
      </c>
      <c r="D44" s="0" t="n">
        <f aca="false">$B$38-1*((1-$B$23)*$B$19-$B$23*$B$22)+$B$24*($B$25*0+(1-$B$25)*1)</f>
        <v>0.679995230878194</v>
      </c>
      <c r="G44" s="3" t="s">
        <v>63</v>
      </c>
      <c r="P44" s="3" t="s">
        <v>64</v>
      </c>
    </row>
    <row r="45" customFormat="false" ht="15" hidden="false" customHeight="false" outlineLevel="0" collapsed="false">
      <c r="H45" s="0" t="n">
        <v>1</v>
      </c>
      <c r="I45" s="0" t="n">
        <f aca="false">H45*(1-$C$43)</f>
        <v>0.342909510269361</v>
      </c>
      <c r="J45" s="0" t="n">
        <f aca="false">I45*(1-(1-$C$44))</f>
        <v>0.229747736503249</v>
      </c>
      <c r="K45" s="0" t="n">
        <f aca="false">J45*(1-(1-$C$44))</f>
        <v>0.153929887762237</v>
      </c>
      <c r="L45" s="0" t="n">
        <f aca="false">K45*(1-$C$43)</f>
        <v>0.0527840224283663</v>
      </c>
      <c r="M45" s="0" t="n">
        <f aca="false">L45*(1-$C$43)</f>
        <v>0.0181001432809581</v>
      </c>
      <c r="N45" s="0" t="n">
        <f aca="false">M45*(1-(1-$C$44))</f>
        <v>0.0121270096764539</v>
      </c>
      <c r="Q45" s="0" t="n">
        <v>1</v>
      </c>
      <c r="R45" s="0" t="n">
        <f aca="false">Q45*(1-($C$43^4*(1+4*(1-$C$43)+10*(1-$C$43)^2)+20*$C$43^3*(1-$C$43)^3*$C$43^2/(1-2*$C$43*(1-$C$43))))</f>
        <v>0.158839689581902</v>
      </c>
      <c r="S45" s="0" t="n">
        <f aca="false">R45*(1-(1-($C$44^4*(1+4*(1-$C$44)+10*(1-$C$44)^2)+20*$C$44^3*(1-$C$44)^3*$C$44^2/(1-2*$C$44*(1-$C$44)))))</f>
        <v>0.136746976250984</v>
      </c>
      <c r="T45" s="0" t="n">
        <f aca="false">S45*(1-($C$43^4*(1+4*(1-$C$43)+10*(1-$C$43)^2)+20*$C$43^3*(1-$C$43)^3*$C$43^2/(1-2*$C$43*(1-$C$43))))</f>
        <v>0.0217208472589699</v>
      </c>
      <c r="U45" s="0" t="n">
        <f aca="false">T45*(1-(1-($C$44^4*(1+4*(1-$C$44)+10*(1-$C$44)^2)+20*$C$44^3*(1-$C$44)^3*$C$44^2/(1-2*$C$44*(1-$C$44)))))</f>
        <v>0.0186997355137871</v>
      </c>
      <c r="V45" s="0" t="n">
        <f aca="false">U45*(1-($C$43^4*(1+4*(1-$C$43)+10*(1-$C$43)^2)+20*$C$43^3*(1-$C$43)^3*$C$43^2/(1-2*$C$43*(1-$C$43))))</f>
        <v>0.00297026018427361</v>
      </c>
      <c r="W45" s="0" t="n">
        <f aca="false">V45*(1-(1-($C$44^4*(1+4*(1-$C$44)+10*(1-$C$44)^2)+20*$C$44^3*(1-$C$44)^3*$C$44^2/(1-2*$C$44*(1-$C$44)))))</f>
        <v>0.00255713228820353</v>
      </c>
    </row>
    <row r="46" customFormat="false" ht="15" hidden="false" customHeight="false" outlineLevel="0" collapsed="false">
      <c r="A46" s="3" t="s">
        <v>65</v>
      </c>
      <c r="H46" s="5" t="n">
        <f aca="false">H45*$C$43</f>
        <v>0.657090489730639</v>
      </c>
      <c r="I46" s="5" t="n">
        <f aca="false">I45*(1-$C$44)+H46*(1-(1-$C$44))</f>
        <v>0.553409268141057</v>
      </c>
      <c r="J46" s="5" t="n">
        <f aca="false">J45*(1-$C$44)+I46*(1-(1-$C$44))</f>
        <v>0.446599419119312</v>
      </c>
      <c r="K46" s="5" t="n">
        <f aca="false">K45*$C$43+J46*(1-$C$43)</f>
        <v>0.254289053430655</v>
      </c>
      <c r="L46" s="5" t="n">
        <f aca="false">L45*$C$43+K46*(1-$C$43)</f>
        <v>0.121882013926173</v>
      </c>
      <c r="M46" s="5" t="n">
        <f aca="false">M45*(1-$C$44)+L46*(1-(1-$C$44))</f>
        <v>0.0876335016648699</v>
      </c>
      <c r="N46" s="5" t="n">
        <f aca="false">N45*(1-$C$44)+M46*(1-(1-$C$44))</f>
        <v>0.0627159992090351</v>
      </c>
      <c r="Q46" s="5" t="n">
        <f aca="false">Q45*($C$43^4*(1+4*(1-$C$43)+10*(1-$C$43)^2)+20*$C$43^3*(1-$C$43)^3*$C$43^2/(1-2*$C$43*(1-$C$43)))</f>
        <v>0.841160310418099</v>
      </c>
      <c r="R46" s="5" t="n">
        <f aca="false">R45*(1-($C$44^4*(1+4*(1-$C$44)+10*(1-$C$44)^2)+20*$C$44^3*(1-$C$44)^3*$C$44^2/(1-2*$C$44*(1-$C$44))))+Q46*(1-(1-($C$44^4*(1+4*(1-$C$44)+10*(1-$C$44)^2)+20*$C$44^3*(1-$C$44)^3*$C$44^2/(1-2*$C$44*(1-$C$44)))))</f>
        <v>0.746257620066672</v>
      </c>
      <c r="S46" s="5" t="n">
        <f aca="false">S45*($C$43^4*(1+4*(1-$C$43)+10*(1-$C$43)^2)+20*$C$43^3*(1-$C$43)^3*$C$43^2/(1-2*$C$43*(1-$C$43)))+R46*(1-($C$43^4*(1+4*(1-$C$43)+10*(1-$C$43)^2)+20*$C$43^3*(1-$C$43)^3*$C$43^2/(1-2*$C$43*(1-$C$43))))</f>
        <v>0.233561457711533</v>
      </c>
      <c r="T46" s="5" t="n">
        <f aca="false">T45*(1-($C$44^4*(1+4*(1-$C$44)+10*(1-$C$44)^2)+20*$C$44^3*(1-$C$44)^3*$C$44^2/(1-2*$C$44*(1-$C$44))))+S46*(1-(1-($C$44^4*(1+4*(1-$C$44)+10*(1-$C$44)^2)+20*$C$44^3*(1-$C$44)^3*$C$44^2/(1-2*$C$44*(1-$C$44)))))</f>
        <v>0.204096946096746</v>
      </c>
      <c r="U46" s="5" t="n">
        <f aca="false">U45*($C$43^4*(1+4*(1-$C$43)+10*(1-$C$43)^2)+20*$C$43^3*(1-$C$43)^3*$C$43^2/(1-2*$C$43*(1-$C$43)))+T46*(1-($C$43^4*(1+4*(1-$C$43)+10*(1-$C$43)^2)+20*$C$43^3*(1-$C$43)^3*$C$43^2/(1-2*$C$43*(1-$C$43))))</f>
        <v>0.0481481708921347</v>
      </c>
      <c r="V46" s="5" t="n">
        <f aca="false">V45*(1-($C$44^4*(1+4*(1-$C$44)+10*(1-$C$44)^2)+20*$C$44^3*(1-$C$44)^3*$C$44^2/(1-2*$C$44*(1-$C$44))))+U46*(1-(1-($C$44^4*(1+4*(1-$C$44)+10*(1-$C$44)^2)+20*$C$44^3*(1-$C$44)^3*$C$44^2/(1-2*$C$44*(1-$C$44)))))</f>
        <v>0.041864460361185</v>
      </c>
      <c r="W46" s="5" t="n">
        <f aca="false">V46*(1-($C$43^4*(1+4*(1-$C$43)+10*(1-$C$43)^2)+20*$C$43^3*(1-$C$43)^3*$C$43^2/(1-2*$C$43*(1-$C$43))))</f>
        <v>0.00664973788828445</v>
      </c>
    </row>
    <row r="47" customFormat="false" ht="15" hidden="false" customHeight="false" outlineLevel="0" collapsed="false">
      <c r="A47" s="0" t="s">
        <v>66</v>
      </c>
      <c r="B47" s="0" t="n">
        <f aca="false">Q12*Q22+Q12*(1-Q22)*Q32+(1-Q12)*Q22*Q32</f>
        <v>0.605702032786765</v>
      </c>
      <c r="H47" s="0" t="n">
        <f aca="false">H46*(1-$C$44)</f>
        <v>0.216842995355694</v>
      </c>
      <c r="I47" s="0" t="n">
        <f aca="false">I46*(1-$C$44)+H47*(1-(1-$C$44))</f>
        <v>0.327911470500415</v>
      </c>
      <c r="J47" s="0" t="n">
        <f aca="false">J46*$C$43+I47*(1-$C$43)</f>
        <v>0.405900192783531</v>
      </c>
      <c r="K47" s="0" t="n">
        <f aca="false">K46*$C$43+J47*(1-$C$43)</f>
        <v>0.306277954977529</v>
      </c>
      <c r="L47" s="0" t="n">
        <f aca="false">L46*(1-$C$44)+K47*(1-(1-$C$44))</f>
        <v>0.245426415023878</v>
      </c>
      <c r="M47" s="0" t="n">
        <f aca="false">M46*(1-$C$44)+L47*(1-(1-$C$44))</f>
        <v>0.193354001081782</v>
      </c>
      <c r="N47" s="0" t="n">
        <f aca="false">N46*$C$43+M47*(1-$C$43)</f>
        <v>0.107513012453786</v>
      </c>
      <c r="Q47" s="0" t="n">
        <f aca="false">Q46*(1-($C$44^4*(1+4*(1-$C$44)+10*(1-$C$44)^2)+20*$C$44^3*(1-$C$44)^3*$C$44^2/(1-2*$C$44*(1-$C$44))))</f>
        <v>0.116995403682344</v>
      </c>
      <c r="R47" s="0" t="n">
        <f aca="false">R46*($C$43^4*(1+4*(1-$C$43)+10*(1-$C$43)^2)+20*$C$43^3*(1-$C$43)^3*$C$43^2/(1-2*$C$43*(1-$C$43)))+Q47*(1-($C$43^4*(1+4*(1-$C$43)+10*(1-$C$43)^2)+20*$C$43^3*(1-$C$43)^3*$C$43^2/(1-2*$C$43*(1-$C$43))))</f>
        <v>0.646305804950566</v>
      </c>
      <c r="S47" s="0" t="n">
        <f aca="false">S46*(1-($C$44^4*(1+4*(1-$C$44)+10*(1-$C$44)^2)+20*$C$44^3*(1-$C$44)^3*$C$44^2/(1-2*$C$44*(1-$C$44))))+R47*(1-(1-($C$44^4*(1+4*(1-$C$44)+10*(1-$C$44)^2)+20*$C$44^3*(1-$C$44)^3*$C$44^2/(1-2*$C$44*(1-$C$44)))))</f>
        <v>0.588897970885221</v>
      </c>
      <c r="T47" s="0" t="n">
        <f aca="false">T46*($C$43^4*(1+4*(1-$C$43)+10*(1-$C$43)^2)+20*$C$43^3*(1-$C$43)^3*$C$43^2/(1-2*$C$43*(1-$C$43)))+S47*(1-($C$43^4*(1+4*(1-$C$43)+10*(1-$C$43)^2)+20*$C$43^3*(1-$C$43)^3*$C$43^2/(1-2*$C$43*(1-$C$43))))</f>
        <v>0.265218621424945</v>
      </c>
      <c r="U47" s="0" t="n">
        <f aca="false">U46*(1-($C$44^4*(1+4*(1-$C$44)+10*(1-$C$44)^2)+20*$C$44^3*(1-$C$44)^3*$C$44^2/(1-2*$C$44*(1-$C$44))))+T47*(1-(1-($C$44^4*(1+4*(1-$C$44)+10*(1-$C$44)^2)+20*$C$44^3*(1-$C$44)^3*$C$44^2/(1-2*$C$44*(1-$C$44)))))</f>
        <v>0.235026701201116</v>
      </c>
      <c r="V47" s="0" t="n">
        <f aca="false">V46*($C$43^4*(1+4*(1-$C$43)+10*(1-$C$43)^2)+20*$C$43^3*(1-$C$43)^3*$C$43^2/(1-2*$C$43*(1-$C$43)))+U47*(1-($C$43^4*(1+4*(1-$C$43)+10*(1-$C$43)^2)+20*$C$43^3*(1-$C$43)^3*$C$43^2/(1-2*$C$43*(1-$C$43))))</f>
        <v>0.0725462907351441</v>
      </c>
      <c r="W47" s="0" t="n">
        <f aca="false">V47*(1-(1-($C$44^4*(1+4*(1-$C$44)+10*(1-$C$44)^2)+20*$C$44^3*(1-$C$44)^3*$C$44^2/(1-2*$C$44*(1-$C$44)))))</f>
        <v>0.0624559637604962</v>
      </c>
    </row>
    <row r="48" customFormat="false" ht="15" hidden="false" customHeight="false" outlineLevel="0" collapsed="false">
      <c r="A48" s="0" t="s">
        <v>67</v>
      </c>
      <c r="B48" s="0" t="n">
        <f aca="false">Q42*Q52+Q42*(1-Q52)*Q62+(1-Q42)*Q52*Q62</f>
        <v>0.445669927361459</v>
      </c>
      <c r="H48" s="0" t="n">
        <f aca="false">H47*(1-$C$44)</f>
        <v>0.0715592226180369</v>
      </c>
      <c r="I48" s="0" t="n">
        <f aca="false">I47*$C$43+H48*(1-$C$43)</f>
        <v>0.240005846722619</v>
      </c>
      <c r="J48" s="0" t="n">
        <f aca="false">J47*$C$43+I48*(1-$C$43)</f>
        <v>0.349013443819327</v>
      </c>
      <c r="K48" s="0" t="n">
        <f aca="false">K47*(1-$C$44)+J48*(1-(1-$C$44))</f>
        <v>0.334910528690782</v>
      </c>
      <c r="L48" s="0" t="n">
        <f aca="false">L47*(1-$C$44)+K48*(1-(1-$C$44))</f>
        <v>0.305380344420066</v>
      </c>
      <c r="M48" s="0" t="n">
        <f aca="false">M47*$C$43+L48*(1-$C$43)</f>
        <v>0.23176889961318</v>
      </c>
      <c r="N48" s="0" t="n">
        <f aca="false">N47*$C$43+M48*(1-$C$43)</f>
        <v>0.150121537867699</v>
      </c>
      <c r="Q48" s="0" t="n">
        <f aca="false">Q47*($C$43^4*(1+4*(1-$C$43)+10*(1-$C$43)^2)+20*$C$43^3*(1-$C$43)^3*$C$43^2/(1-2*$C$43*(1-$C$43)))</f>
        <v>0.0984118900789316</v>
      </c>
      <c r="R48" s="0" t="n">
        <f aca="false">R47*(1-($C$44^4*(1+4*(1-$C$44)+10*(1-$C$44)^2)+20*$C$44^3*(1-$C$44)^3*$C$44^2/(1-2*$C$44*(1-$C$44))))+Q48*(1-(1-($C$44^4*(1+4*(1-$C$44)+10*(1-$C$44)^2)+20*$C$44^3*(1-$C$44)^3*$C$44^2/(1-2*$C$44*(1-$C$44)))))</f>
        <v>0.174617423021452</v>
      </c>
      <c r="S48" s="0" t="n">
        <f aca="false">S47*($C$43^4*(1+4*(1-$C$43)+10*(1-$C$43)^2)+20*$C$43^3*(1-$C$43)^3*$C$43^2/(1-2*$C$43*(1-$C$43)))+R48*(1-($C$43^4*(1+4*(1-$C$43)+10*(1-$C$43)^2)+20*$C$43^3*(1-$C$43)^3*$C$43^2/(1-2*$C$43*(1-$C$43))))</f>
        <v>0.52309377726272</v>
      </c>
      <c r="T48" s="0" t="n">
        <f aca="false">T47*(1-($C$44^4*(1+4*(1-$C$44)+10*(1-$C$44)^2)+20*$C$44^3*(1-$C$44)^3*$C$44^2/(1-2*$C$44*(1-$C$44))))+S48*(1-(1-($C$44^4*(1+4*(1-$C$44)+10*(1-$C$44)^2)+20*$C$44^3*(1-$C$44)^3*$C$44^2/(1-2*$C$44*(1-$C$44)))))</f>
        <v>0.487226407412742</v>
      </c>
      <c r="U48" s="0" t="n">
        <f aca="false">U47*($C$43^4*(1+4*(1-$C$43)+10*(1-$C$43)^2)+20*$C$43^3*(1-$C$43)^3*$C$43^2/(1-2*$C$43*(1-$C$43)))+T48*(1-($C$43^4*(1+4*(1-$C$43)+10*(1-$C$43)^2)+20*$C$43^3*(1-$C$43)^3*$C$43^2/(1-2*$C$43*(1-$C$43))))</f>
        <v>0.275086024248417</v>
      </c>
      <c r="V48" s="0" t="n">
        <f aca="false">V47*(1-($C$44^4*(1+4*(1-$C$44)+10*(1-$C$44)^2)+20*$C$44^3*(1-$C$44)^3*$C$44^2/(1-2*$C$44*(1-$C$44))))+U48*(1-(1-($C$44^4*(1+4*(1-$C$44)+10*(1-$C$44)^2)+20*$C$44^3*(1-$C$44)^3*$C$44^2/(1-2*$C$44*(1-$C$44)))))</f>
        <v>0.246915154093688</v>
      </c>
      <c r="W48" s="0" t="n">
        <f aca="false">V48*(1-($C$43^4*(1+4*(1-$C$43)+10*(1-$C$43)^2)+20*$C$43^3*(1-$C$43)^3*$C$43^2/(1-2*$C$43*(1-$C$43))))</f>
        <v>0.0392199264293088</v>
      </c>
    </row>
    <row r="49" customFormat="false" ht="15" hidden="false" customHeight="false" outlineLevel="0" collapsed="false">
      <c r="A49" s="0" t="s">
        <v>68</v>
      </c>
      <c r="B49" s="0" t="n">
        <f aca="false">(1-$B$16)*$B$47+$B$16*$B$48</f>
        <v>0.525685980074112</v>
      </c>
      <c r="H49" s="0" t="n">
        <f aca="false">H48*$C$43</f>
        <v>0.0470208846348296</v>
      </c>
      <c r="I49" s="0" t="n">
        <f aca="false">I48*$C$43+H49*(1-$C$43)</f>
        <v>0.173829467883744</v>
      </c>
      <c r="J49" s="0" t="n">
        <f aca="false">J48*(1-$C$44)+I49*(1-(1-$C$44))</f>
        <v>0.231641015416206</v>
      </c>
      <c r="K49" s="0" t="n">
        <f aca="false">K48*(1-$C$44)+J49*(1-(1-$C$44))</f>
        <v>0.265720447301704</v>
      </c>
      <c r="L49" s="0" t="n">
        <f aca="false">L48*$C$43+K49*(1-$C$43)</f>
        <v>0.291780588521875</v>
      </c>
      <c r="M49" s="0" t="n">
        <f aca="false">M48*$C$43+L49*(1-$C$43)</f>
        <v>0.252347478467298</v>
      </c>
      <c r="N49" s="0" t="n">
        <f aca="false">N48*(1-$C$44)+M49*(1-(1-$C$44))</f>
        <v>0.218612430541468</v>
      </c>
      <c r="Q49" s="0" t="n">
        <f aca="false">Q48*(1-($C$44^4*(1+4*(1-$C$44)+10*(1-$C$44)^2)+20*$C$44^3*(1-$C$44)^3*$C$44^2/(1-2*$C$44*(1-$C$44))))</f>
        <v>0.0136879244827947</v>
      </c>
      <c r="R49" s="0" t="n">
        <f aca="false">R48*($C$43^4*(1+4*(1-$C$43)+10*(1-$C$43)^2)+20*$C$43^3*(1-$C$43)^3*$C$43^2/(1-2*$C$43*(1-$C$43)))+Q49*(1-($C$43^4*(1+4*(1-$C$43)+10*(1-$C$43)^2)+20*$C$43^3*(1-$C$43)^3*$C$43^2/(1-2*$C$43*(1-$C$43))))</f>
        <v>0.149055431429</v>
      </c>
      <c r="S49" s="0" t="n">
        <f aca="false">S48*(1-($C$44^4*(1+4*(1-$C$44)+10*(1-$C$44)^2)+20*$C$44^3*(1-$C$44)^3*$C$44^2/(1-2*$C$44*(1-$C$44))))+R49*(1-(1-($C$44^4*(1+4*(1-$C$44)+10*(1-$C$44)^2)+20*$C$44^3*(1-$C$44)^3*$C$44^2/(1-2*$C$44*(1-$C$44)))))</f>
        <v>0.201079720641768</v>
      </c>
      <c r="T49" s="0" t="n">
        <f aca="false">T48*($C$43^4*(1+4*(1-$C$43)+10*(1-$C$43)^2)+20*$C$43^3*(1-$C$43)^3*$C$43^2/(1-2*$C$43*(1-$C$43)))+S49*(1-($C$43^4*(1+4*(1-$C$43)+10*(1-$C$43)^2)+20*$C$43^3*(1-$C$43)^3*$C$43^2/(1-2*$C$43*(1-$C$43))))</f>
        <v>0.441774956511151</v>
      </c>
      <c r="U49" s="0" t="n">
        <f aca="false">U48*(1-($C$44^4*(1+4*(1-$C$44)+10*(1-$C$44)^2)+20*$C$44^3*(1-$C$44)^3*$C$44^2/(1-2*$C$44*(1-$C$44))))+T49*(1-(1-($C$44^4*(1+4*(1-$C$44)+10*(1-$C$44)^2)+20*$C$44^3*(1-$C$44)^3*$C$44^2/(1-2*$C$44*(1-$C$44)))))</f>
        <v>0.418590506795776</v>
      </c>
      <c r="V49" s="0" t="n">
        <f aca="false">V48*($C$43^4*(1+4*(1-$C$43)+10*(1-$C$43)^2)+20*$C$43^3*(1-$C$43)^3*$C$43^2/(1-2*$C$43*(1-$C$43)))+U49*(1-($C$43^4*(1+4*(1-$C$43)+10*(1-$C$43)^2)+20*$C$43^3*(1-$C$43)^3*$C$43^2/(1-2*$C$43*(1-$C$43))))</f>
        <v>0.274184013825751</v>
      </c>
      <c r="W49" s="0" t="n">
        <f aca="false">V49*(1-(1-($C$44^4*(1+4*(1-$C$44)+10*(1-$C$44)^2)+20*$C$44^3*(1-$C$44)^3*$C$44^2/(1-2*$C$44*(1-$C$44)))))</f>
        <v>0.236048275627589</v>
      </c>
    </row>
    <row r="50" customFormat="false" ht="15" hidden="false" customHeight="false" outlineLevel="0" collapsed="false">
      <c r="A50" s="0" t="s">
        <v>69</v>
      </c>
      <c r="B50" s="0" t="n">
        <f aca="false">1/(1+EXP(-$B$26*LN(B49/(1-B49))))</f>
        <v>0.514906575983438</v>
      </c>
      <c r="H50" s="0" t="n">
        <f aca="false">H49*$C$43</f>
        <v>0.0308969761122681</v>
      </c>
      <c r="I50" s="0" t="n">
        <f aca="false">I49*(1-$C$44)+H50*(1-(1-$C$44))</f>
        <v>0.0780653800593184</v>
      </c>
      <c r="J50" s="0" t="n">
        <f aca="false">J49*(1-$C$44)+I50*(1-(1-$C$44))</f>
        <v>0.128746072148003</v>
      </c>
      <c r="K50" s="0" t="n">
        <f aca="false">K49*$C$43+J50*(1-$C$43)</f>
        <v>0.218750631398297</v>
      </c>
      <c r="L50" s="0" t="n">
        <f aca="false">L49*$C$43+K50*(1-$C$43)</f>
        <v>0.266737921689637</v>
      </c>
      <c r="M50" s="0" t="n">
        <f aca="false">M49*(1-$C$44)+L50*(1-(1-$C$44))</f>
        <v>0.261989006796488</v>
      </c>
      <c r="N50" s="0" t="n">
        <f aca="false">N49*(1-$C$44)+M50*(1-(1-$C$44))</f>
        <v>0.247674529764156</v>
      </c>
      <c r="Q50" s="0" t="n">
        <f aca="false">Q49*($C$43^4*(1+4*(1-$C$43)+10*(1-$C$43)^2)+20*$C$43^3*(1-$C$43)^3*$C$43^2/(1-2*$C$43*(1-$C$43)))</f>
        <v>0.0115137388069271</v>
      </c>
      <c r="R50" s="0" t="n">
        <f aca="false">R49*(1-($C$44^4*(1+4*(1-$C$44)+10*(1-$C$44)^2)+20*$C$44^3*(1-$C$44)^3*$C$44^2/(1-2*$C$44*(1-$C$44))))+Q50*(1-(1-($C$44^4*(1+4*(1-$C$44)+10*(1-$C$44)^2)+20*$C$44^3*(1-$C$44)^3*$C$44^2/(1-2*$C$44*(1-$C$44)))))</f>
        <v>0.0306441538445482</v>
      </c>
      <c r="S50" s="0" t="n">
        <f aca="false">S49*($C$43^4*(1+4*(1-$C$43)+10*(1-$C$43)^2)+20*$C$43^3*(1-$C$43)^3*$C$43^2/(1-2*$C$43*(1-$C$43)))+R50*(1-($C$43^4*(1+4*(1-$C$43)+10*(1-$C$43)^2)+20*$C$43^3*(1-$C$43)^3*$C$43^2/(1-2*$C$43*(1-$C$43))))</f>
        <v>0.174007788117982</v>
      </c>
      <c r="T50" s="0" t="n">
        <f aca="false">T49*(1-($C$44^4*(1+4*(1-$C$44)+10*(1-$C$44)^2)+20*$C$44^3*(1-$C$44)^3*$C$44^2/(1-2*$C$44*(1-$C$44))))+S50*(1-(1-($C$44^4*(1+4*(1-$C$44)+10*(1-$C$44)^2)+20*$C$44^3*(1-$C$44)^3*$C$44^2/(1-2*$C$44*(1-$C$44)))))</f>
        <v>0.211251019367761</v>
      </c>
      <c r="U50" s="0" t="n">
        <f aca="false">U49*($C$43^4*(1+4*(1-$C$43)+10*(1-$C$43)^2)+20*$C$43^3*(1-$C$43)^3*$C$43^2/(1-2*$C$43*(1-$C$43)))+T50*(1-($C$43^4*(1+4*(1-$C$43)+10*(1-$C$43)^2)+20*$C$43^3*(1-$C$43)^3*$C$43^2/(1-2*$C$43*(1-$C$43))))</f>
        <v>0.385656766974639</v>
      </c>
      <c r="V50" s="0" t="n">
        <f aca="false">V49*(1-($C$44^4*(1+4*(1-$C$44)+10*(1-$C$44)^2)+20*$C$44^3*(1-$C$44)^3*$C$44^2/(1-2*$C$44*(1-$C$44))))+U50*(1-(1-($C$44^4*(1+4*(1-$C$44)+10*(1-$C$44)^2)+20*$C$44^3*(1-$C$44)^3*$C$44^2/(1-2*$C$44*(1-$C$44)))))</f>
        <v>0.370152231640876</v>
      </c>
      <c r="W50" s="0" t="n">
        <f aca="false">V50*(1-($C$43^4*(1+4*(1-$C$43)+10*(1-$C$43)^2)+20*$C$43^3*(1-$C$43)^3*$C$43^2/(1-2*$C$43*(1-$C$43))))</f>
        <v>0.0587948655718849</v>
      </c>
    </row>
    <row r="51" customFormat="false" ht="15" hidden="false" customHeight="false" outlineLevel="0" collapsed="false">
      <c r="A51" s="0" t="s">
        <v>70</v>
      </c>
      <c r="B51" s="0" t="n">
        <f aca="false">1/(1+EXP(-($B$30*LN(B50/(1-B50))+$B$31*LN($B$28/(1-$B$28))+$B$32*LN($B$29/(1-$B$29)))))</f>
        <v>0.527967074281437</v>
      </c>
      <c r="H51" s="0" t="n">
        <f aca="false">H50*(1-$C$44)</f>
        <v>0.010196149468491</v>
      </c>
      <c r="I51" s="0" t="n">
        <f aca="false">I50*(1-$C$44)+H51*(1-(1-$C$44))</f>
        <v>0.0325933192400917</v>
      </c>
      <c r="J51" s="0" t="n">
        <f aca="false">J50*$C$43+I51*(1-$C$43)</f>
        <v>0.0957743787373002</v>
      </c>
      <c r="K51" s="0" t="n">
        <f aca="false">K50*$C$43+J51*(1-$C$43)</f>
        <v>0.176580904823553</v>
      </c>
      <c r="L51" s="0" t="n">
        <f aca="false">L50*(1-$C$44)+K51*(1-(1-$C$44))</f>
        <v>0.206333150359156</v>
      </c>
      <c r="M51" s="0" t="n">
        <f aca="false">M50*(1-$C$44)+L51*(1-(1-$C$44))</f>
        <v>0.224699848413034</v>
      </c>
      <c r="N51" s="0" t="n">
        <f aca="false">N50*$C$43+M51*(1-$C$43)</f>
        <v>0.239796293033448</v>
      </c>
      <c r="Q51" s="0" t="n">
        <f aca="false">Q50*(1-($C$44^4*(1+4*(1-$C$44)+10*(1-$C$44)^2)+20*$C$44^3*(1-$C$44)^3*$C$44^2/(1-2*$C$44*(1-$C$44))))</f>
        <v>0.00160142425043801</v>
      </c>
      <c r="R51" s="0" t="n">
        <f aca="false">R50*($C$43^4*(1+4*(1-$C$43)+10*(1-$C$43)^2)+20*$C$43^3*(1-$C$43)^3*$C$43^2/(1-2*$C$43*(1-$C$43)))</f>
        <v>0.0257766459603801</v>
      </c>
      <c r="S51" s="0" t="n">
        <f aca="false">S50*(1-($C$44^4*(1+4*(1-$C$44)+10*(1-$C$44)^2)+20*$C$44^3*(1-$C$44)^3*$C$44^2/(1-2*$C$44*(1-$C$44))))</f>
        <v>0.0242024155949728</v>
      </c>
      <c r="T51" s="0" t="n">
        <f aca="false">T50*($C$43^4*(1+4*(1-$C$43)+10*(1-$C$43)^2)+20*$C$43^3*(1-$C$43)^3*$C$43^2/(1-2*$C$43*(1-$C$43)))</f>
        <v>0.177695973027526</v>
      </c>
      <c r="U51" s="0" t="n">
        <f aca="false">U50*(1-($C$44^4*(1+4*(1-$C$44)+10*(1-$C$44)^2)+20*$C$44^3*(1-$C$44)^3*$C$44^2/(1-2*$C$44*(1-$C$44))))</f>
        <v>0.053640273531925</v>
      </c>
      <c r="V51" s="0" t="n">
        <f aca="false">V50*($C$43^4*(1+4*(1-$C$43)+10*(1-$C$43)^2)+20*$C$43^3*(1-$C$43)^3*$C$43^2/(1-2*$C$43*(1-$C$43)))</f>
        <v>0.311357366068992</v>
      </c>
      <c r="W51" s="0" t="n">
        <f aca="false">W50*(1-($C$44^4*(1+4*(1-$C$44)+10*(1-$C$44)^2)+20*$C$44^3*(1-$C$44)^3*$C$44^2/(1-2*$C$44*(1-$C$44))))+V51*(1-(1-($C$44^4*(1+4*(1-$C$44)+10*(1-$C$44)^2)+20*$C$44^3*(1-$C$44)^3*$C$44^2/(1-2*$C$44*(1-$C$44)))))</f>
        <v>0.276228923446688</v>
      </c>
    </row>
    <row r="52" customFormat="false" ht="15" hidden="false" customHeight="false" outlineLevel="0" collapsed="false">
      <c r="A52" s="0" t="s">
        <v>71</v>
      </c>
      <c r="B52" s="0" t="n">
        <f aca="false">1/(1+EXP(-(0.5*LN(B51/(1-B51))+0.5*LN($B$27/(1-$B$27)))))</f>
        <v>0.585884208610106</v>
      </c>
      <c r="G52" s="0" t="s">
        <v>22</v>
      </c>
      <c r="H52" s="0" t="n">
        <f aca="false">H51*(1-$C$44)+I51*$C$43+J51*$C$43+K51*(1-$C$44)+L51*(1-$C$44)+M51*$C$43+N51*($C$43*(1-$C$44))/(($C$43*(1-$C$44))+((1-$C$43)*$C$44))</f>
        <v>0.478159124103328</v>
      </c>
      <c r="P52" s="0" t="s">
        <v>23</v>
      </c>
      <c r="Q52" s="0" t="n">
        <f aca="false">Q51+R51+S51+T51+U51+V51*(1-($C$44^4*(1+4*(1-$C$44)+10*(1-$C$44)^2)+20*$C$44^3*(1-$C$44)^3*$C$44^2/(1-2*$C$44*(1-$C$44))))+W51*H52</f>
        <v>0.45830422221726</v>
      </c>
    </row>
    <row r="53" customFormat="false" ht="15" hidden="false" customHeight="false" outlineLevel="0" collapsed="false">
      <c r="A53" s="0" t="s">
        <v>72</v>
      </c>
      <c r="B53" s="0" t="n">
        <f aca="false">IF(B52&gt;=0.5,-100*B52/(1-B52),100*(1-B52)/B52)</f>
        <v>-141.478354796302</v>
      </c>
    </row>
    <row r="54" customFormat="false" ht="15" hidden="false" customHeight="false" outlineLevel="0" collapsed="false">
      <c r="A54" s="0" t="s">
        <v>73</v>
      </c>
      <c r="B54" s="0" t="n">
        <v>0.514906575983438</v>
      </c>
      <c r="G54" s="3" t="s">
        <v>74</v>
      </c>
      <c r="P54" s="3" t="s">
        <v>75</v>
      </c>
    </row>
    <row r="55" customFormat="false" ht="15" hidden="false" customHeight="false" outlineLevel="0" collapsed="false">
      <c r="A55" s="0" t="s">
        <v>76</v>
      </c>
      <c r="B55" s="0" t="n">
        <v>0.585884208610106</v>
      </c>
      <c r="H55" s="0" t="n">
        <v>1</v>
      </c>
      <c r="I55" s="0" t="n">
        <f aca="false">H55*(1-$D$43)</f>
        <v>0.352909510269361</v>
      </c>
      <c r="J55" s="0" t="n">
        <f aca="false">I55*(1-(1-$D$44))</f>
        <v>0.239976783914724</v>
      </c>
      <c r="K55" s="0" t="n">
        <f aca="false">J55*(1-(1-$D$44))</f>
        <v>0.163183068583499</v>
      </c>
      <c r="L55" s="0" t="n">
        <f aca="false">K55*(1-$D$43)</f>
        <v>0.0575888568180543</v>
      </c>
      <c r="M55" s="0" t="n">
        <f aca="false">L55*(1-$D$43)</f>
        <v>0.0203236552566319</v>
      </c>
      <c r="N55" s="0" t="n">
        <f aca="false">M55*(1-(1-$D$44))</f>
        <v>0.0138199886485222</v>
      </c>
      <c r="Q55" s="0" t="n">
        <v>1</v>
      </c>
      <c r="R55" s="0" t="n">
        <f aca="false">Q55*(1-($D$43^4*(1+4*(1-$D$43)+10*(1-$D$43)^2)+20*$D$43^3*(1-$D$43)^3*$D$43^2/(1-2*$D$43*(1-$D$43))))</f>
        <v>0.175215566375172</v>
      </c>
      <c r="S55" s="0" t="n">
        <f aca="false">R55*(1-(1-($D$44^4*(1+4*(1-$D$44)+10*(1-$D$44)^2)+20*$D$44^3*(1-$D$44)^3*$D$44^2/(1-2*$D$44*(1-$D$44)))))</f>
        <v>0.153338119494012</v>
      </c>
      <c r="T55" s="0" t="n">
        <f aca="false">S55*(1-($D$43^4*(1+4*(1-$D$43)+10*(1-$D$43)^2)+20*$D$43^3*(1-$D$43)^3*$D$43^2/(1-2*$D$43*(1-$D$43))))</f>
        <v>0.026867225454047</v>
      </c>
      <c r="U55" s="0" t="n">
        <f aca="false">T55*(1-(1-($D$44^4*(1+4*(1-$D$44)+10*(1-$D$44)^2)+20*$D$44^3*(1-$D$44)^3*$D$44^2/(1-2*$D$44*(1-$D$44)))))</f>
        <v>0.0235125788899598</v>
      </c>
      <c r="V55" s="0" t="n">
        <f aca="false">U55*(1-($D$43^4*(1+4*(1-$D$43)+10*(1-$D$43)^2)+20*$D$43^3*(1-$D$43)^3*$D$43^2/(1-2*$D$43*(1-$D$43))))</f>
        <v>0.0041197698271452</v>
      </c>
      <c r="W55" s="0" t="n">
        <f aca="false">V55*(1-(1-($D$44^4*(1+4*(1-$D$44)+10*(1-$D$44)^2)+20*$D$44^3*(1-$D$44)^3*$D$44^2/(1-2*$D$44*(1-$D$44)))))</f>
        <v>0.00360537463144103</v>
      </c>
    </row>
    <row r="56" customFormat="false" ht="15" hidden="false" customHeight="false" outlineLevel="0" collapsed="false">
      <c r="H56" s="0" t="n">
        <f aca="false">H55*$D$43</f>
        <v>0.647090489730639</v>
      </c>
      <c r="I56" s="0" t="n">
        <f aca="false">I55*(1-$D$44)+H56*(1-(1-$D$44))</f>
        <v>0.552951173318106</v>
      </c>
      <c r="J56" s="0" t="n">
        <f aca="false">J55*(1-$D$44)+I56*(1-(1-$D$44))</f>
        <v>0.452797876096038</v>
      </c>
      <c r="K56" s="0" t="n">
        <f aca="false">K55*$D$43+J56*(1-$D$43)</f>
        <v>0.265390888469505</v>
      </c>
      <c r="L56" s="0" t="n">
        <f aca="false">L55*$D$43+K56*(1-$D$43)</f>
        <v>0.130924170041146</v>
      </c>
      <c r="M56" s="0" t="n">
        <f aca="false">M55*(1-$D$44)+L56*(1-(1-$D$44))</f>
        <v>0.0955314778427746</v>
      </c>
      <c r="N56" s="0" t="n">
        <f aca="false">N55*(1-$D$44)+M56*(1-(1-$D$44))</f>
        <v>0.0693834116085689</v>
      </c>
      <c r="Q56" s="0" t="n">
        <f aca="false">Q55*($D$43^4*(1+4*(1-$D$43)+10*(1-$D$43)^2)+20*$D$43^3*(1-$D$43)^3*$D$43^2/(1-2*$D$43*(1-$D$43)))</f>
        <v>0.824784433624829</v>
      </c>
      <c r="R56" s="0" t="n">
        <f aca="false">R55*(1-($D$44^4*(1+4*(1-$D$44)+10*(1-$D$44)^2)+20*$D$44^3*(1-$D$44)^3*$D$44^2/(1-2*$D$44*(1-$D$44))))+Q56*(1-(1-($D$44^4*(1+4*(1-$D$44)+10*(1-$D$44)^2)+20*$D$44^3*(1-$D$44)^3*$D$44^2/(1-2*$D$44*(1-$D$44)))))</f>
        <v>0.743679148958047</v>
      </c>
      <c r="S56" s="0" t="n">
        <f aca="false">S55*($D$43^4*(1+4*(1-$D$43)+10*(1-$D$43)^2)+20*$D$43^3*(1-$D$43)^3*$D$43^2/(1-2*$D$43*(1-$D$43)))+R56*(1-($D$43^4*(1+4*(1-$D$43)+10*(1-$D$43)^2)+20*$D$43^3*(1-$D$43)^3*$D$43^2/(1-2*$D$43*(1-$D$43))))</f>
        <v>0.256775057326054</v>
      </c>
      <c r="T56" s="0" t="n">
        <f aca="false">T55*(1-($D$44^4*(1+4*(1-$D$44)+10*(1-$D$44)^2)+20*$D$44^3*(1-$D$44)^3*$D$44^2/(1-2*$D$44*(1-$D$44))))+S56*(1-(1-($D$44^4*(1+4*(1-$D$44)+10*(1-$D$44)^2)+20*$D$44^3*(1-$D$44)^3*$D$44^2/(1-2*$D$44*(1-$D$44)))))</f>
        <v>0.228068724416268</v>
      </c>
      <c r="U56" s="0" t="n">
        <f aca="false">U55*($D$43^4*(1+4*(1-$D$43)+10*(1-$D$43)^2)+20*$D$43^3*(1-$D$43)^3*$D$43^2/(1-2*$D$43*(1-$D$43)))+T56*(1-($D$43^4*(1+4*(1-$D$43)+10*(1-$D$43)^2)+20*$D$43^3*(1-$D$43)^3*$D$43^2/(1-2*$D$43*(1-$D$43))))</f>
        <v>0.0593539997838738</v>
      </c>
      <c r="V56" s="0" t="n">
        <f aca="false">V55*(1-($D$44^4*(1+4*(1-$D$44)+10*(1-$D$44)^2)+20*$D$44^3*(1-$D$44)^3*$D$44^2/(1-2*$D$44*(1-$D$44))))+U56*(1-(1-($D$44^4*(1+4*(1-$D$44)+10*(1-$D$44)^2)+20*$D$44^3*(1-$D$44)^3*$D$44^2/(1-2*$D$44*(1-$D$44)))))</f>
        <v>0.0524574439760827</v>
      </c>
      <c r="W56" s="0" t="n">
        <f aca="false">V56*(1-($D$43^4*(1+4*(1-$D$43)+10*(1-$D$43)^2)+20*$D$43^3*(1-$D$43)^3*$D$43^2/(1-2*$D$43*(1-$D$43))))</f>
        <v>0.00919136075686316</v>
      </c>
    </row>
    <row r="57" customFormat="false" ht="15" hidden="false" customHeight="false" outlineLevel="0" collapsed="false">
      <c r="H57" s="0" t="n">
        <f aca="false">H56*(1-$D$44)</f>
        <v>0.20707204276717</v>
      </c>
      <c r="I57" s="0" t="n">
        <f aca="false">I56*(1-$D$44)+H57*(1-(1-$D$44))</f>
        <v>0.317755014083173</v>
      </c>
      <c r="J57" s="0" t="n">
        <f aca="false">J56*$D$43+I57*(1-$D$43)</f>
        <v>0.405139965797705</v>
      </c>
      <c r="K57" s="0" t="n">
        <f aca="false">K56*$D$43+J57*(1-$D$43)</f>
        <v>0.314709666909995</v>
      </c>
      <c r="L57" s="0" t="n">
        <f aca="false">L56*(1-$D$44)+K57*(1-(1-$D$44))</f>
        <v>0.255897431416543</v>
      </c>
      <c r="M57" s="0" t="n">
        <f aca="false">M56*(1-$D$44)+L57*(1-(1-$D$44))</f>
        <v>0.204579561468171</v>
      </c>
      <c r="N57" s="0" t="n">
        <f aca="false">N56*$D$43+M57*(1-$D$43)</f>
        <v>0.117095418645824</v>
      </c>
      <c r="Q57" s="0" t="n">
        <f aca="false">Q56*(1-($D$44^4*(1+4*(1-$D$44)+10*(1-$D$44)^2)+20*$D$44^3*(1-$D$44)^3*$D$44^2/(1-2*$D$44*(1-$D$44))))</f>
        <v>0.102982731547941</v>
      </c>
      <c r="R57" s="0" t="n">
        <f aca="false">R56*($D$43^4*(1+4*(1-$D$43)+10*(1-$D$43)^2)+20*$D$43^3*(1-$D$43)^3*$D$43^2/(1-2*$D$43*(1-$D$43)))+Q57*(1-($D$43^4*(1+4*(1-$D$43)+10*(1-$D$43)^2)+20*$D$43^3*(1-$D$43)^3*$D$43^2/(1-2*$D$43*(1-$D$43))))</f>
        <v>0.631419163306992</v>
      </c>
      <c r="S57" s="0" t="n">
        <f aca="false">S56*(1-($D$44^4*(1+4*(1-$D$44)+10*(1-$D$44)^2)+20*$D$44^3*(1-$D$44)^3*$D$44^2/(1-2*$D$44*(1-$D$44))))+R57*(1-(1-($D$44^4*(1+4*(1-$D$44)+10*(1-$D$44)^2)+20*$D$44^3*(1-$D$44)^3*$D$44^2/(1-2*$D$44*(1-$D$44)))))</f>
        <v>0.584641033386801</v>
      </c>
      <c r="T57" s="0" t="n">
        <f aca="false">T56*($D$43^4*(1+4*(1-$D$43)+10*(1-$D$43)^2)+20*$D$43^3*(1-$D$43)^3*$D$43^2/(1-2*$D$43*(1-$D$43)))+S57*(1-($D$43^4*(1+4*(1-$D$43)+10*(1-$D$43)^2)+20*$D$43^3*(1-$D$43)^3*$D$43^2/(1-2*$D$43*(1-$D$43))))</f>
        <v>0.290545743486242</v>
      </c>
      <c r="U57" s="0" t="n">
        <f aca="false">U56*(1-($D$44^4*(1+4*(1-$D$44)+10*(1-$D$44)^2)+20*$D$44^3*(1-$D$44)^3*$D$44^2/(1-2*$D$44*(1-$D$44))))+T57*(1-(1-($D$44^4*(1+4*(1-$D$44)+10*(1-$D$44)^2)+20*$D$44^3*(1-$D$44)^3*$D$44^2/(1-2*$D$44*(1-$D$44)))))</f>
        <v>0.261679101116229</v>
      </c>
      <c r="V57" s="0" t="n">
        <f aca="false">V56*($D$43^4*(1+4*(1-$D$43)+10*(1-$D$43)^2)+20*$D$43^3*(1-$D$43)^3*$D$43^2/(1-2*$D$43*(1-$D$43)))+U57*(1-($D$43^4*(1+4*(1-$D$43)+10*(1-$D$43)^2)+20*$D$43^3*(1-$D$43)^3*$D$43^2/(1-2*$D$43*(1-$D$43))))</f>
        <v>0.0891163351298454</v>
      </c>
      <c r="W57" s="0" t="n">
        <f aca="false">V57*(1-(1-($D$44^4*(1+4*(1-$D$44)+10*(1-$D$44)^2)+20*$D$44^3*(1-$D$44)^3*$D$44^2/(1-2*$D$44*(1-$D$44)))))</f>
        <v>0.0779892536245853</v>
      </c>
    </row>
    <row r="58" customFormat="false" ht="15" hidden="false" customHeight="false" outlineLevel="0" collapsed="false">
      <c r="H58" s="0" t="n">
        <f aca="false">H57*(1-$D$44)</f>
        <v>0.066264041237289</v>
      </c>
      <c r="I58" s="0" t="n">
        <f aca="false">I57*$D$43+H58*(1-$D$43)</f>
        <v>0.229001458018967</v>
      </c>
      <c r="J58" s="0" t="n">
        <f aca="false">J57*$D$43+I58*(1-$D$43)</f>
        <v>0.342979011277935</v>
      </c>
      <c r="K58" s="0" t="n">
        <f aca="false">K57*(1-$D$44)+J58*(1-(1-$D$44))</f>
        <v>0.333932686260247</v>
      </c>
      <c r="L58" s="0" t="n">
        <f aca="false">L57*(1-$D$44)+K58*(1-(1-$D$44))</f>
        <v>0.308961032550626</v>
      </c>
      <c r="M58" s="0" t="n">
        <f aca="false">M57*$D$43+L58*(1-$D$43)</f>
        <v>0.241416775309075</v>
      </c>
      <c r="N58" s="0" t="n">
        <f aca="false">N57*$D$43+M58*(1-$D$43)</f>
        <v>0.160969607741875</v>
      </c>
      <c r="Q58" s="0" t="n">
        <f aca="false">Q57*($D$43^4*(1+4*(1-$D$43)+10*(1-$D$43)^2)+20*$D$43^3*(1-$D$43)^3*$D$43^2/(1-2*$D$43*(1-$D$43)))</f>
        <v>0.0849385539129067</v>
      </c>
      <c r="R58" s="0" t="n">
        <f aca="false">R57*(1-($D$44^4*(1+4*(1-$D$44)+10*(1-$D$44)^2)+20*$D$44^3*(1-$D$44)^3*$D$44^2/(1-2*$D$44*(1-$D$44))))+Q58*(1-(1-($D$44^4*(1+4*(1-$D$44)+10*(1-$D$44)^2)+20*$D$44^3*(1-$D$44)^3*$D$44^2/(1-2*$D$44*(1-$D$44)))))</f>
        <v>0.153172220309896</v>
      </c>
      <c r="S58" s="0" t="n">
        <f aca="false">S57*($D$43^4*(1+4*(1-$D$43)+10*(1-$D$43)^2)+20*$D$43^3*(1-$D$43)^3*$D$43^2/(1-2*$D$43*(1-$D$43)))+R58*(1-($D$43^4*(1+4*(1-$D$43)+10*(1-$D$43)^2)+20*$D$43^3*(1-$D$43)^3*$D$43^2/(1-2*$D$43*(1-$D$43))))</f>
        <v>0.509040980930308</v>
      </c>
      <c r="T58" s="0" t="n">
        <f aca="false">T57*(1-($D$44^4*(1+4*(1-$D$44)+10*(1-$D$44)^2)+20*$D$44^3*(1-$D$44)^3*$D$44^2/(1-2*$D$44*(1-$D$44))))+S58*(1-(1-($D$44^4*(1+4*(1-$D$44)+10*(1-$D$44)^2)+20*$D$44^3*(1-$D$44)^3*$D$44^2/(1-2*$D$44*(1-$D$44)))))</f>
        <v>0.481759626597133</v>
      </c>
      <c r="U58" s="0" t="n">
        <f aca="false">U57*($D$43^4*(1+4*(1-$D$43)+10*(1-$D$43)^2)+20*$D$43^3*(1-$D$43)^3*$D$43^2/(1-2*$D$43*(1-$D$43)))+T58*(1-($D$43^4*(1+4*(1-$D$43)+10*(1-$D$43)^2)+20*$D$43^3*(1-$D$43)^3*$D$43^2/(1-2*$D$43*(1-$D$43))))</f>
        <v>0.300240635036511</v>
      </c>
      <c r="V58" s="0" t="n">
        <f aca="false">V57*(1-($D$44^4*(1+4*(1-$D$44)+10*(1-$D$44)^2)+20*$D$44^3*(1-$D$44)^3*$D$44^2/(1-2*$D$44*(1-$D$44))))+U58*(1-(1-($D$44^4*(1+4*(1-$D$44)+10*(1-$D$44)^2)+20*$D$44^3*(1-$D$44)^3*$D$44^2/(1-2*$D$44*(1-$D$44)))))</f>
        <v>0.273879617279446</v>
      </c>
      <c r="W58" s="0" t="n">
        <f aca="false">V58*(1-($D$43^4*(1+4*(1-$D$43)+10*(1-$D$43)^2)+20*$D$43^3*(1-$D$43)^3*$D$43^2/(1-2*$D$43*(1-$D$43))))</f>
        <v>0.0479879722602333</v>
      </c>
    </row>
    <row r="59" customFormat="false" ht="15" hidden="false" customHeight="false" outlineLevel="0" collapsed="false">
      <c r="H59" s="0" t="n">
        <f aca="false">H58*$D$43</f>
        <v>0.0428788308957686</v>
      </c>
      <c r="I59" s="0" t="n">
        <f aca="false">I58*$D$43+H59*(1-$D$43)</f>
        <v>0.163317012830872</v>
      </c>
      <c r="J59" s="0" t="n">
        <f aca="false">J58*(1-$D$44)+I59*(1-(1-$D$44))</f>
        <v>0.220809709163887</v>
      </c>
      <c r="K59" s="0" t="n">
        <f aca="false">K58*(1-$D$44)+J59*(1-(1-$D$44))</f>
        <v>0.257009601331979</v>
      </c>
      <c r="L59" s="0" t="n">
        <f aca="false">L58*$D$43+K59*(1-$D$43)</f>
        <v>0.290626878401461</v>
      </c>
      <c r="M59" s="0" t="n">
        <f aca="false">M58*$D$43+L59*(1-$D$43)</f>
        <v>0.258783488691714</v>
      </c>
      <c r="N59" s="0" t="n">
        <f aca="false">N58*(1-$D$44)+M59*(1-(1-$D$44))</f>
        <v>0.227482580301453</v>
      </c>
      <c r="Q59" s="0" t="n">
        <f aca="false">Q58*(1-($D$44^4*(1+4*(1-$D$44)+10*(1-$D$44)^2)+20*$D$44^3*(1-$D$44)^3*$D$44^2/(1-2*$D$44*(1-$D$44))))</f>
        <v>0.0106054429970754</v>
      </c>
      <c r="R59" s="0" t="n">
        <f aca="false">R58*($D$43^4*(1+4*(1-$D$43)+10*(1-$D$43)^2)+20*$D$43^3*(1-$D$43)^3*$D$43^2/(1-2*$D$43*(1-$D$43)))+Q59*(1-($D$43^4*(1+4*(1-$D$43)+10*(1-$D$43)^2)+20*$D$43^3*(1-$D$43)^3*$D$43^2/(1-2*$D$43*(1-$D$43))))</f>
        <v>0.128192301676747</v>
      </c>
      <c r="S59" s="0" t="n">
        <f aca="false">S58*(1-($D$44^4*(1+4*(1-$D$44)+10*(1-$D$44)^2)+20*$D$44^3*(1-$D$44)^3*$D$44^2/(1-2*$D$44*(1-$D$44))))+R59*(1-(1-($D$44^4*(1+4*(1-$D$44)+10*(1-$D$44)^2)+20*$D$44^3*(1-$D$44)^3*$D$44^2/(1-2*$D$44*(1-$D$44)))))</f>
        <v>0.175745135722835</v>
      </c>
      <c r="T59" s="0" t="n">
        <f aca="false">T58*($D$43^4*(1+4*(1-$D$43)+10*(1-$D$43)^2)+20*$D$43^3*(1-$D$43)^3*$D$43^2/(1-2*$D$43*(1-$D$43)))+S59*(1-($D$43^4*(1+4*(1-$D$43)+10*(1-$D$43)^2)+20*$D$43^3*(1-$D$43)^3*$D$43^2/(1-2*$D$43*(1-$D$43))))</f>
        <v>0.428141124259583</v>
      </c>
      <c r="U59" s="0" t="n">
        <f aca="false">U58*(1-($D$44^4*(1+4*(1-$D$44)+10*(1-$D$44)^2)+20*$D$44^3*(1-$D$44)^3*$D$44^2/(1-2*$D$44*(1-$D$44))))+T59*(1-(1-($D$44^4*(1+4*(1-$D$44)+10*(1-$D$44)^2)+20*$D$44^3*(1-$D$44)^3*$D$44^2/(1-2*$D$44*(1-$D$44)))))</f>
        <v>0.412171446354021</v>
      </c>
      <c r="V59" s="0" t="n">
        <f aca="false">V58*($D$43^4*(1+4*(1-$D$43)+10*(1-$D$43)^2)+20*$D$43^3*(1-$D$43)^3*$D$43^2/(1-2*$D$43*(1-$D$43)))+U59*(1-($D$43^4*(1+4*(1-$D$43)+10*(1-$D$43)^2)+20*$D$43^3*(1-$D$43)^3*$D$43^2/(1-2*$D$43*(1-$D$43))))</f>
        <v>0.298110498435806</v>
      </c>
      <c r="W59" s="0" t="n">
        <f aca="false">V59*(1-(1-($D$44^4*(1+4*(1-$D$44)+10*(1-$D$44)^2)+20*$D$44^3*(1-$D$44)^3*$D$44^2/(1-2*$D$44*(1-$D$44)))))</f>
        <v>0.260888368409523</v>
      </c>
    </row>
    <row r="60" customFormat="false" ht="15" hidden="false" customHeight="false" outlineLevel="0" collapsed="false">
      <c r="H60" s="0" t="n">
        <f aca="false">H59*$D$43</f>
        <v>0.0277464836834202</v>
      </c>
      <c r="I60" s="0" t="n">
        <f aca="false">I59*(1-$D$44)+H60*(1-(1-$D$44))</f>
        <v>0.0711296995629717</v>
      </c>
      <c r="J60" s="0" t="n">
        <f aca="false">J59*(1-$D$44)+I60*(1-(1-$D$44))</f>
        <v>0.119028016477462</v>
      </c>
      <c r="K60" s="0" t="n">
        <f aca="false">K59*$D$43+J60*(1-$D$43)</f>
        <v>0.208314587794781</v>
      </c>
      <c r="L60" s="0" t="n">
        <f aca="false">L59*$D$43+K60*(1-$D$43)</f>
        <v>0.261578088234308</v>
      </c>
      <c r="M60" s="0" t="n">
        <f aca="false">M59*(1-$D$44)+L60*(1-(1-$D$44))</f>
        <v>0.260683803052893</v>
      </c>
      <c r="N60" s="0" t="n">
        <f aca="false">N59*(1-$D$44)+M60*(1-(1-$D$44))</f>
        <v>0.250059253431756</v>
      </c>
      <c r="Q60" s="0" t="n">
        <f aca="false">Q59*($D$43^4*(1+4*(1-$D$43)+10*(1-$D$43)^2)+20*$D$43^3*(1-$D$43)^3*$D$43^2/(1-2*$D$43*(1-$D$43)))</f>
        <v>0.00874720429568322</v>
      </c>
      <c r="R60" s="0" t="n">
        <f aca="false">R59*(1-($D$44^4*(1+4*(1-$D$44)+10*(1-$D$44)^2)+20*$D$44^3*(1-$D$44)^3*$D$44^2/(1-2*$D$44*(1-$D$44))))+Q60*(1-(1-($D$44^4*(1+4*(1-$D$44)+10*(1-$D$44)^2)+20*$D$44^3*(1-$D$44)^3*$D$44^2/(1-2*$D$44*(1-$D$44)))))</f>
        <v>0.0236611404671643</v>
      </c>
      <c r="S60" s="0" t="n">
        <f aca="false">S59*($D$43^4*(1+4*(1-$D$43)+10*(1-$D$43)^2)+20*$D$43^3*(1-$D$43)^3*$D$43^2/(1-2*$D$43*(1-$D$43)))+R60*(1-($D$43^4*(1+4*(1-$D$43)+10*(1-$D$43)^2)+20*$D$43^3*(1-$D$43)^3*$D$43^2/(1-2*$D$43*(1-$D$43))))</f>
        <v>0.149097652357513</v>
      </c>
      <c r="T60" s="0" t="n">
        <f aca="false">T59*(1-($D$44^4*(1+4*(1-$D$44)+10*(1-$D$44)^2)+20*$D$44^3*(1-$D$44)^3*$D$44^2/(1-2*$D$44*(1-$D$44))))+S60*(1-(1-($D$44^4*(1+4*(1-$D$44)+10*(1-$D$44)^2)+20*$D$44^3*(1-$D$44)^3*$D$44^2/(1-2*$D$44*(1-$D$44)))))</f>
        <v>0.183939070048682</v>
      </c>
      <c r="U60" s="0" t="n">
        <f aca="false">U59*($D$43^4*(1+4*(1-$D$43)+10*(1-$D$43)^2)+20*$D$43^3*(1-$D$43)^3*$D$43^2/(1-2*$D$43*(1-$D$43)))+T60*(1-($D$43^4*(1+4*(1-$D$43)+10*(1-$D$43)^2)+20*$D$43^3*(1-$D$43)^3*$D$43^2/(1-2*$D$43*(1-$D$43))))</f>
        <v>0.37218158127453</v>
      </c>
      <c r="V60" s="0" t="n">
        <f aca="false">V59*(1-($D$44^4*(1+4*(1-$D$44)+10*(1-$D$44)^2)+20*$D$44^3*(1-$D$44)^3*$D$44^2/(1-2*$D$44*(1-$D$44))))+U60*(1-(1-($D$44^4*(1+4*(1-$D$44)+10*(1-$D$44)^2)+20*$D$44^3*(1-$D$44)^3*$D$44^2/(1-2*$D$44*(1-$D$44)))))</f>
        <v>0.36293305265485</v>
      </c>
      <c r="W60" s="0" t="n">
        <f aca="false">V60*(1-($D$43^4*(1+4*(1-$D$43)+10*(1-$D$43)^2)+20*$D$43^3*(1-$D$43)^3*$D$43^2/(1-2*$D$43*(1-$D$43))))</f>
        <v>0.0635915203771895</v>
      </c>
    </row>
    <row r="61" customFormat="false" ht="15" hidden="false" customHeight="false" outlineLevel="0" collapsed="false">
      <c r="H61" s="0" t="n">
        <f aca="false">H60*(1-$D$44)</f>
        <v>0.00887900710505484</v>
      </c>
      <c r="I61" s="0" t="n">
        <f aca="false">I60*(1-$D$44)+H61*(1-(1-$D$44))</f>
        <v>0.0287995255727231</v>
      </c>
      <c r="J61" s="0" t="n">
        <f aca="false">J60*$D$43+I61*(1-$D$43)</f>
        <v>0.0871855239399273</v>
      </c>
      <c r="K61" s="0" t="n">
        <f aca="false">K60*$D$43+J61*(1-$D$43)</f>
        <v>0.165566989190379</v>
      </c>
      <c r="L61" s="0" t="n">
        <f aca="false">L60*(1-$D$44)+K61*(1-(1-$D$44))</f>
        <v>0.196290998773062</v>
      </c>
      <c r="M61" s="0" t="n">
        <f aca="false">M60*(1-$D$44)+L61*(1-(1-$D$44))</f>
        <v>0.216897003239735</v>
      </c>
      <c r="N61" s="0" t="n">
        <f aca="false">N60*$D$43+M61*(1-$D$43)</f>
        <v>0.23835597995706</v>
      </c>
      <c r="Q61" s="0" t="n">
        <f aca="false">Q60*(1-($D$44^4*(1+4*(1-$D$44)+10*(1-$D$44)^2)+20*$D$44^3*(1-$D$44)^3*$D$44^2/(1-2*$D$44*(1-$D$44))))</f>
        <v>0.00109217748911481</v>
      </c>
      <c r="R61" s="0" t="n">
        <f aca="false">R60*($D$43^4*(1+4*(1-$D$43)+10*(1-$D$43)^2)+20*$D$43^3*(1-$D$43)^3*$D$43^2/(1-2*$D$43*(1-$D$43)))</f>
        <v>0.0195153403391276</v>
      </c>
      <c r="S61" s="0" t="n">
        <f aca="false">S60*(1-($D$44^4*(1+4*(1-$D$44)+10*(1-$D$44)^2)+20*$D$44^3*(1-$D$44)^3*$D$44^2/(1-2*$D$44*(1-$D$44))))</f>
        <v>0.0186163594767193</v>
      </c>
      <c r="T61" s="0" t="n">
        <f aca="false">T60*($D$43^4*(1+4*(1-$D$43)+10*(1-$D$43)^2)+20*$D$43^3*(1-$D$43)^3*$D$43^2/(1-2*$D$43*(1-$D$43)))</f>
        <v>0.15171008171158</v>
      </c>
      <c r="U61" s="0" t="n">
        <f aca="false">U60*(1-($D$44^4*(1+4*(1-$D$44)+10*(1-$D$44)^2)+20*$D$44^3*(1-$D$44)^3*$D$44^2/(1-2*$D$44*(1-$D$44))))</f>
        <v>0.0464706586459629</v>
      </c>
      <c r="V61" s="0" t="n">
        <f aca="false">V60*($D$43^4*(1+4*(1-$D$43)+10*(1-$D$43)^2)+20*$D$43^3*(1-$D$43)^3*$D$43^2/(1-2*$D$43*(1-$D$43)))</f>
        <v>0.29934153227766</v>
      </c>
      <c r="W61" s="0" t="n">
        <f aca="false">W60*(1-($D$44^4*(1+4*(1-$D$44)+10*(1-$D$44)^2)+20*$D$44^3*(1-$D$44)^3*$D$44^2/(1-2*$D$44*(1-$D$44))))+V61*(1-(1-($D$44^4*(1+4*(1-$D$44)+10*(1-$D$44)^2)+20*$D$44^3*(1-$D$44)^3*$D$44^2/(1-2*$D$44*(1-$D$44)))))</f>
        <v>0.269905743727105</v>
      </c>
    </row>
    <row r="62" customFormat="false" ht="15" hidden="false" customHeight="false" outlineLevel="0" collapsed="false">
      <c r="G62" s="0" t="s">
        <v>22</v>
      </c>
      <c r="H62" s="0" t="n">
        <f aca="false">H61*(1-$D$44)+I61*$D$43+J61*$D$43+K61*(1-$D$44)+L61*(1-$D$44)+M61*$D$43+N61*($D$43*(1-$D$44))/(($D$43*(1-$D$44))+((1-$D$43)*$D$44))</f>
        <v>0.444448387784265</v>
      </c>
      <c r="P62" s="0" t="s">
        <v>23</v>
      </c>
      <c r="Q62" s="0" t="n">
        <f aca="false">Q61+R61+S61+T61+U61+V61*(1-($D$44^4*(1+4*(1-$D$44)+10*(1-$D$44)^2)+20*$D$44^3*(1-$D$44)^3*$D$44^2/(1-2*$D$44*(1-$D$44))))+W61*H62</f>
        <v>0.394739627447158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9" min="8" style="0" width="10"/>
    <col collapsed="false" customWidth="true" hidden="false" outlineLevel="0" max="11" min="10" style="0" width="14"/>
    <col collapsed="false" customWidth="true" hidden="false" outlineLevel="0" max="12" min="12" style="0" width="6"/>
  </cols>
  <sheetData>
    <row r="1" customFormat="false" ht="16.15" hidden="false" customHeight="false" outlineLevel="0" collapsed="false">
      <c r="A1" s="1" t="s">
        <v>85</v>
      </c>
    </row>
    <row r="3" customFormat="false" ht="15" hidden="false" customHeight="false" outlineLevel="0" collapsed="false">
      <c r="A3" s="3" t="s">
        <v>86</v>
      </c>
      <c r="B3" s="3" t="s">
        <v>87</v>
      </c>
      <c r="C3" s="3" t="s">
        <v>88</v>
      </c>
      <c r="D3" s="3" t="s">
        <v>89</v>
      </c>
      <c r="E3" s="3" t="s">
        <v>90</v>
      </c>
      <c r="F3" s="3" t="s">
        <v>91</v>
      </c>
      <c r="G3" s="3" t="s">
        <v>92</v>
      </c>
      <c r="H3" s="3" t="s">
        <v>93</v>
      </c>
      <c r="I3" s="3" t="s">
        <v>94</v>
      </c>
      <c r="J3" s="3" t="s">
        <v>95</v>
      </c>
      <c r="K3" s="3" t="s">
        <v>96</v>
      </c>
      <c r="L3" s="3" t="s">
        <v>97</v>
      </c>
    </row>
    <row r="4" customFormat="false" ht="15" hidden="false" customHeight="false" outlineLevel="0" collapsed="false">
      <c r="A4" s="0" t="s">
        <v>98</v>
      </c>
      <c r="B4" s="0" t="s">
        <v>99</v>
      </c>
      <c r="C4" s="0" t="s">
        <v>100</v>
      </c>
      <c r="D4" s="0" t="n">
        <v>0.5048</v>
      </c>
      <c r="E4" s="0" t="n">
        <f aca="false">IF(D4&gt;=0.5,-100*D4/(1-D4),100*(1-D4)/D4)</f>
        <v>-101.938610662359</v>
      </c>
      <c r="F4" s="4" t="n">
        <v>100</v>
      </c>
      <c r="G4" s="5" t="s">
        <v>101</v>
      </c>
      <c r="H4" s="5" t="n">
        <f aca="false">IF(F4="","",IF(F4&gt;0,100/(F4+100),-F4/(-F4+100)))</f>
        <v>0.5</v>
      </c>
      <c r="I4" s="5" t="n">
        <f aca="false">IF(F4="","",D4*IF(F4&gt;0,1+F4/100,1+100/-F4)-1)</f>
        <v>0.00960000000000005</v>
      </c>
      <c r="J4" s="5" t="n">
        <f aca="false">IF(F4="","",MAX(0,MIN(0.02,0.25*((IF(F4&gt;0,F4/100,100/-F4))*D4-(1-D4))/IF(F4&gt;0,F4/100,100/-F4))))</f>
        <v>0.00240000000000001</v>
      </c>
      <c r="K4" s="0" t="n">
        <v>103</v>
      </c>
      <c r="L4" s="0" t="str">
        <f aca="false">IF(F4="","",IF(I4&gt;=0.025,"YES","no"))</f>
        <v>no</v>
      </c>
    </row>
    <row r="5" customFormat="false" ht="15" hidden="false" customHeight="false" outlineLevel="0" collapsed="false">
      <c r="A5" s="0" t="s">
        <v>98</v>
      </c>
      <c r="B5" s="0" t="s">
        <v>99</v>
      </c>
      <c r="C5" s="0" t="s">
        <v>102</v>
      </c>
      <c r="D5" s="0" t="n">
        <v>0.4952</v>
      </c>
      <c r="E5" s="0" t="n">
        <f aca="false">IF(D5&gt;=0.5,-100*D5/(1-D5),100*(1-D5)/D5)</f>
        <v>101.938610662359</v>
      </c>
      <c r="F5" s="4" t="n">
        <v>-116</v>
      </c>
      <c r="G5" s="5" t="s">
        <v>101</v>
      </c>
      <c r="H5" s="5" t="n">
        <f aca="false">IF(F5="","",IF(F5&gt;0,100/(F5+100),-F5/(-F5+100)))</f>
        <v>0.537037037037037</v>
      </c>
      <c r="I5" s="5" t="n">
        <f aca="false">IF(F5="","",D5*IF(F5&gt;0,1+F5/100,1+100/-F5)-1)</f>
        <v>-0.0779034482758622</v>
      </c>
      <c r="J5" s="5" t="n">
        <f aca="false">IF(F5="","",MAX(0,MIN(0.02,0.25*((IF(F5&gt;0,F5/100,100/-F5))*D5-(1-D5))/IF(F5&gt;0,F5/100,100/-F5))))</f>
        <v>0</v>
      </c>
      <c r="K5" s="0" t="n">
        <v>107</v>
      </c>
      <c r="L5" s="0" t="str">
        <f aca="false">IF(F5="","",IF(I5&gt;=0.025,"YES","no"))</f>
        <v>no</v>
      </c>
    </row>
    <row r="6" customFormat="false" ht="15" hidden="false" customHeight="false" outlineLevel="0" collapsed="false">
      <c r="A6" s="0" t="s">
        <v>98</v>
      </c>
      <c r="B6" s="0" t="s">
        <v>103</v>
      </c>
      <c r="C6" s="0" t="s">
        <v>104</v>
      </c>
      <c r="D6" s="0" t="n">
        <v>0.3023</v>
      </c>
      <c r="E6" s="0" t="n">
        <f aca="false">IF(D6&gt;=0.5,-100*D6/(1-D6),100*(1-D6)/D6)</f>
        <v>230.797221303341</v>
      </c>
      <c r="F6" s="4"/>
      <c r="G6" s="5" t="s">
        <v>105</v>
      </c>
      <c r="H6" s="0" t="str">
        <f aca="false">IF(F6="","",IF(F6&gt;0,100/(F6+100),-F6/(-F6+100)))</f>
        <v/>
      </c>
      <c r="I6" s="0" t="str">
        <f aca="false">IF(F6="","",D6*IF(F6&gt;0,1+F6/100,1+100/-F6)-1)</f>
        <v/>
      </c>
      <c r="J6" s="0" t="str">
        <f aca="false">IF(F6="","",MAX(0,MIN(0.02,0.25*((IF(F6&gt;0,F6/100,100/-F6))*D6-(1-D6))/IF(F6&gt;0,F6/100,100/-F6))))</f>
        <v/>
      </c>
      <c r="K6" s="0" t="n">
        <v>239</v>
      </c>
      <c r="L6" s="0" t="str">
        <f aca="false">IF(F6="","",IF(I6&gt;=0.025,"YES","no"))</f>
        <v/>
      </c>
    </row>
    <row r="7" customFormat="false" ht="15" hidden="false" customHeight="false" outlineLevel="0" collapsed="false">
      <c r="A7" s="0" t="s">
        <v>98</v>
      </c>
      <c r="B7" s="0" t="s">
        <v>103</v>
      </c>
      <c r="C7" s="0" t="s">
        <v>106</v>
      </c>
      <c r="D7" s="0" t="n">
        <v>0.6977</v>
      </c>
      <c r="E7" s="0" t="n">
        <f aca="false">IF(D7&gt;=0.5,-100*D7/(1-D7),100*(1-D7)/D7)</f>
        <v>-230.797221303341</v>
      </c>
      <c r="F7" s="4"/>
      <c r="G7" s="5" t="s">
        <v>105</v>
      </c>
      <c r="H7" s="0" t="str">
        <f aca="false">IF(F7="","",IF(F7&gt;0,100/(F7+100),-F7/(-F7+100)))</f>
        <v/>
      </c>
      <c r="I7" s="0" t="str">
        <f aca="false">IF(F7="","",D7*IF(F7&gt;0,1+F7/100,1+100/-F7)-1)</f>
        <v/>
      </c>
      <c r="J7" s="0" t="str">
        <f aca="false">IF(F7="","",MAX(0,MIN(0.02,0.25*((IF(F7&gt;0,F7/100,100/-F7))*D7-(1-D7))/IF(F7&gt;0,F7/100,100/-F7))))</f>
        <v/>
      </c>
      <c r="K7" s="0" t="n">
        <v>-213</v>
      </c>
      <c r="L7" s="0" t="str">
        <f aca="false">IF(F7="","",IF(I7&gt;=0.025,"YES","no"))</f>
        <v/>
      </c>
    </row>
    <row r="8" customFormat="false" ht="15" hidden="false" customHeight="false" outlineLevel="0" collapsed="false">
      <c r="A8" s="0" t="s">
        <v>98</v>
      </c>
      <c r="B8" s="0" t="s">
        <v>103</v>
      </c>
      <c r="C8" s="0" t="s">
        <v>107</v>
      </c>
      <c r="D8" s="0" t="n">
        <v>0.3141</v>
      </c>
      <c r="E8" s="0" t="n">
        <f aca="false">IF(D8&gt;=0.5,-100*D8/(1-D8),100*(1-D8)/D8)</f>
        <v>218.369945877109</v>
      </c>
      <c r="F8" s="4"/>
      <c r="G8" s="5" t="s">
        <v>105</v>
      </c>
      <c r="H8" s="0" t="str">
        <f aca="false">IF(F8="","",IF(F8&gt;0,100/(F8+100),-F8/(-F8+100)))</f>
        <v/>
      </c>
      <c r="I8" s="0" t="str">
        <f aca="false">IF(F8="","",D8*IF(F8&gt;0,1+F8/100,1+100/-F8)-1)</f>
        <v/>
      </c>
      <c r="J8" s="0" t="str">
        <f aca="false">IF(F8="","",MAX(0,MIN(0.02,0.25*((IF(F8&gt;0,F8/100,100/-F8))*D8-(1-D8))/IF(F8&gt;0,F8/100,100/-F8))))</f>
        <v/>
      </c>
      <c r="K8" s="0" t="n">
        <v>226</v>
      </c>
      <c r="L8" s="0" t="str">
        <f aca="false">IF(F8="","",IF(I8&gt;=0.025,"YES","no"))</f>
        <v/>
      </c>
    </row>
    <row r="9" customFormat="false" ht="15" hidden="false" customHeight="false" outlineLevel="0" collapsed="false">
      <c r="A9" s="0" t="s">
        <v>98</v>
      </c>
      <c r="B9" s="0" t="s">
        <v>103</v>
      </c>
      <c r="C9" s="0" t="s">
        <v>108</v>
      </c>
      <c r="D9" s="0" t="n">
        <v>0.6859</v>
      </c>
      <c r="E9" s="0" t="n">
        <f aca="false">IF(D9&gt;=0.5,-100*D9/(1-D9),100*(1-D9)/D9)</f>
        <v>-218.369945877109</v>
      </c>
      <c r="F9" s="4"/>
      <c r="G9" s="5" t="s">
        <v>105</v>
      </c>
      <c r="H9" s="0" t="str">
        <f aca="false">IF(F9="","",IF(F9&gt;0,100/(F9+100),-F9/(-F9+100)))</f>
        <v/>
      </c>
      <c r="I9" s="0" t="str">
        <f aca="false">IF(F9="","",D9*IF(F9&gt;0,1+F9/100,1+100/-F9)-1)</f>
        <v/>
      </c>
      <c r="J9" s="0" t="str">
        <f aca="false">IF(F9="","",MAX(0,MIN(0.02,0.25*((IF(F9&gt;0,F9/100,100/-F9))*D9-(1-D9))/IF(F9&gt;0,F9/100,100/-F9))))</f>
        <v/>
      </c>
      <c r="K9" s="0" t="n">
        <v>-202</v>
      </c>
      <c r="L9" s="0" t="str">
        <f aca="false">IF(F9="","",IF(I9&gt;=0.025,"YES","no"))</f>
        <v/>
      </c>
    </row>
    <row r="10" customFormat="false" ht="15" hidden="false" customHeight="false" outlineLevel="0" collapsed="false">
      <c r="A10" s="0" t="s">
        <v>98</v>
      </c>
      <c r="B10" s="0" t="s">
        <v>109</v>
      </c>
      <c r="C10" s="0" t="s">
        <v>110</v>
      </c>
      <c r="D10" s="0" t="n">
        <v>0.3836</v>
      </c>
      <c r="E10" s="0" t="n">
        <f aca="false">IF(D10&gt;=0.5,-100*D10/(1-D10),100*(1-D10)/D10)</f>
        <v>160.688216892596</v>
      </c>
      <c r="F10" s="4" t="n">
        <v>125</v>
      </c>
      <c r="G10" s="5" t="s">
        <v>111</v>
      </c>
      <c r="H10" s="5" t="n">
        <f aca="false">IF(F10="","",IF(F10&gt;0,100/(F10+100),-F10/(-F10+100)))</f>
        <v>0.444444444444444</v>
      </c>
      <c r="I10" s="5" t="n">
        <f aca="false">IF(F10="","",D10*IF(F10&gt;0,1+F10/100,1+100/-F10)-1)</f>
        <v>-0.1369</v>
      </c>
      <c r="J10" s="5" t="n">
        <f aca="false">IF(F10="","",MAX(0,MIN(0.02,0.25*((IF(F10&gt;0,F10/100,100/-F10))*D10-(1-D10))/IF(F10&gt;0,F10/100,100/-F10))))</f>
        <v>0</v>
      </c>
      <c r="K10" s="0" t="n">
        <v>167</v>
      </c>
      <c r="L10" s="0" t="str">
        <f aca="false">IF(F10="","",IF(I10&gt;=0.025,"YES","no"))</f>
        <v>no</v>
      </c>
    </row>
    <row r="11" customFormat="false" ht="15" hidden="false" customHeight="false" outlineLevel="0" collapsed="false">
      <c r="A11" s="0" t="s">
        <v>98</v>
      </c>
      <c r="B11" s="0" t="s">
        <v>109</v>
      </c>
      <c r="C11" s="0" t="s">
        <v>112</v>
      </c>
      <c r="D11" s="0" t="n">
        <v>0.6165</v>
      </c>
      <c r="E11" s="0" t="n">
        <f aca="false">IF(D11&gt;=0.5,-100*D11/(1-D11),100*(1-D11)/D11)</f>
        <v>-160.756192959583</v>
      </c>
      <c r="F11" s="4"/>
      <c r="G11" s="5" t="s">
        <v>105</v>
      </c>
      <c r="H11" s="0" t="str">
        <f aca="false">IF(F11="","",IF(F11&gt;0,100/(F11+100),-F11/(-F11+100)))</f>
        <v/>
      </c>
      <c r="I11" s="0" t="str">
        <f aca="false">IF(F11="","",D11*IF(F11&gt;0,1+F11/100,1+100/-F11)-1)</f>
        <v/>
      </c>
      <c r="J11" s="0" t="str">
        <f aca="false">IF(F11="","",MAX(0,MIN(0.02,0.25*((IF(F11&gt;0,F11/100,100/-F11))*D11-(1-D11))/IF(F11&gt;0,F11/100,100/-F11))))</f>
        <v/>
      </c>
      <c r="K11" s="0" t="n">
        <v>-151</v>
      </c>
      <c r="L11" s="0" t="str">
        <f aca="false">IF(F11="","",IF(I11&gt;=0.025,"YES","no"))</f>
        <v/>
      </c>
    </row>
    <row r="12" customFormat="false" ht="15" hidden="false" customHeight="false" outlineLevel="0" collapsed="false">
      <c r="A12" s="0" t="s">
        <v>98</v>
      </c>
      <c r="B12" s="0" t="s">
        <v>113</v>
      </c>
      <c r="C12" s="0" t="s">
        <v>114</v>
      </c>
      <c r="D12" s="0" t="n">
        <v>0.6071</v>
      </c>
      <c r="E12" s="0" t="n">
        <f aca="false">IF(D12&gt;=0.5,-100*D12/(1-D12),100*(1-D12)/D12)</f>
        <v>-154.517688979384</v>
      </c>
      <c r="F12" s="4"/>
      <c r="G12" s="5" t="s">
        <v>105</v>
      </c>
      <c r="H12" s="0" t="str">
        <f aca="false">IF(F12="","",IF(F12&gt;0,100/(F12+100),-F12/(-F12+100)))</f>
        <v/>
      </c>
      <c r="I12" s="0" t="str">
        <f aca="false">IF(F12="","",D12*IF(F12&gt;0,1+F12/100,1+100/-F12)-1)</f>
        <v/>
      </c>
      <c r="J12" s="0" t="str">
        <f aca="false">IF(F12="","",MAX(0,MIN(0.02,0.25*((IF(F12&gt;0,F12/100,100/-F12))*D12-(1-D12))/IF(F12&gt;0,F12/100,100/-F12))))</f>
        <v/>
      </c>
      <c r="K12" s="0" t="n">
        <v>-145</v>
      </c>
      <c r="L12" s="0" t="str">
        <f aca="false">IF(F12="","",IF(I12&gt;=0.025,"YES","no"))</f>
        <v/>
      </c>
    </row>
    <row r="13" customFormat="false" ht="15" hidden="false" customHeight="false" outlineLevel="0" collapsed="false">
      <c r="A13" s="0" t="s">
        <v>98</v>
      </c>
      <c r="B13" s="0" t="s">
        <v>113</v>
      </c>
      <c r="C13" s="0" t="s">
        <v>115</v>
      </c>
      <c r="D13" s="0" t="n">
        <v>0.3929</v>
      </c>
      <c r="E13" s="0" t="n">
        <f aca="false">IF(D13&gt;=0.5,-100*D13/(1-D13),100*(1-D13)/D13)</f>
        <v>154.517688979384</v>
      </c>
      <c r="F13" s="4"/>
      <c r="G13" s="5" t="s">
        <v>105</v>
      </c>
      <c r="H13" s="0" t="str">
        <f aca="false">IF(F13="","",IF(F13&gt;0,100/(F13+100),-F13/(-F13+100)))</f>
        <v/>
      </c>
      <c r="I13" s="0" t="str">
        <f aca="false">IF(F13="","",D13*IF(F13&gt;0,1+F13/100,1+100/-F13)-1)</f>
        <v/>
      </c>
      <c r="J13" s="0" t="str">
        <f aca="false">IF(F13="","",MAX(0,MIN(0.02,0.25*((IF(F13&gt;0,F13/100,100/-F13))*D13-(1-D13))/IF(F13&gt;0,F13/100,100/-F13))))</f>
        <v/>
      </c>
      <c r="K13" s="0" t="n">
        <v>161</v>
      </c>
      <c r="L13" s="0" t="str">
        <f aca="false">IF(F13="","",IF(I13&gt;=0.025,"YES","no"))</f>
        <v/>
      </c>
    </row>
    <row r="14" customFormat="false" ht="15" hidden="false" customHeight="false" outlineLevel="0" collapsed="false">
      <c r="A14" s="0" t="s">
        <v>98</v>
      </c>
      <c r="B14" s="0" t="s">
        <v>113</v>
      </c>
      <c r="C14" s="0" t="s">
        <v>116</v>
      </c>
      <c r="D14" s="0" t="n">
        <v>0.5548</v>
      </c>
      <c r="E14" s="0" t="n">
        <f aca="false">IF(D14&gt;=0.5,-100*D14/(1-D14),100*(1-D14)/D14)</f>
        <v>-124.618149146451</v>
      </c>
      <c r="F14" s="4"/>
      <c r="G14" s="5" t="s">
        <v>105</v>
      </c>
      <c r="H14" s="0" t="str">
        <f aca="false">IF(F14="","",IF(F14&gt;0,100/(F14+100),-F14/(-F14+100)))</f>
        <v/>
      </c>
      <c r="I14" s="0" t="str">
        <f aca="false">IF(F14="","",D14*IF(F14&gt;0,1+F14/100,1+100/-F14)-1)</f>
        <v/>
      </c>
      <c r="J14" s="0" t="str">
        <f aca="false">IF(F14="","",MAX(0,MIN(0.02,0.25*((IF(F14&gt;0,F14/100,100/-F14))*D14-(1-D14))/IF(F14&gt;0,F14/100,100/-F14))))</f>
        <v/>
      </c>
      <c r="K14" s="0" t="n">
        <v>-118</v>
      </c>
      <c r="L14" s="0" t="str">
        <f aca="false">IF(F14="","",IF(I14&gt;=0.025,"YES","no"))</f>
        <v/>
      </c>
    </row>
    <row r="15" customFormat="false" ht="15" hidden="false" customHeight="false" outlineLevel="0" collapsed="false">
      <c r="A15" s="0" t="s">
        <v>98</v>
      </c>
      <c r="B15" s="0" t="s">
        <v>113</v>
      </c>
      <c r="C15" s="0" t="s">
        <v>117</v>
      </c>
      <c r="D15" s="0" t="n">
        <v>0.4452</v>
      </c>
      <c r="E15" s="0" t="n">
        <f aca="false">IF(D15&gt;=0.5,-100*D15/(1-D15),100*(1-D15)/D15)</f>
        <v>124.618149146451</v>
      </c>
      <c r="F15" s="4"/>
      <c r="G15" s="5" t="s">
        <v>105</v>
      </c>
      <c r="H15" s="0" t="str">
        <f aca="false">IF(F15="","",IF(F15&gt;0,100/(F15+100),-F15/(-F15+100)))</f>
        <v/>
      </c>
      <c r="I15" s="0" t="str">
        <f aca="false">IF(F15="","",D15*IF(F15&gt;0,1+F15/100,1+100/-F15)-1)</f>
        <v/>
      </c>
      <c r="J15" s="0" t="str">
        <f aca="false">IF(F15="","",MAX(0,MIN(0.02,0.25*((IF(F15&gt;0,F15/100,100/-F15))*D15-(1-D15))/IF(F15&gt;0,F15/100,100/-F15))))</f>
        <v/>
      </c>
      <c r="K15" s="0" t="n">
        <v>130</v>
      </c>
      <c r="L15" s="0" t="str">
        <f aca="false">IF(F15="","",IF(I15&gt;=0.025,"YES","no"))</f>
        <v/>
      </c>
    </row>
    <row r="16" customFormat="false" ht="15" hidden="false" customHeight="false" outlineLevel="0" collapsed="false">
      <c r="A16" s="0" t="s">
        <v>98</v>
      </c>
      <c r="B16" s="0" t="s">
        <v>113</v>
      </c>
      <c r="C16" s="0" t="s">
        <v>118</v>
      </c>
      <c r="D16" s="0" t="n">
        <v>0.4785</v>
      </c>
      <c r="E16" s="0" t="n">
        <f aca="false">IF(D16&gt;=0.5,-100*D16/(1-D16),100*(1-D16)/D16)</f>
        <v>108.986415882968</v>
      </c>
      <c r="F16" s="4" t="n">
        <v>-135</v>
      </c>
      <c r="G16" s="5" t="s">
        <v>119</v>
      </c>
      <c r="H16" s="5" t="n">
        <f aca="false">IF(F16="","",IF(F16&gt;0,100/(F16+100),-F16/(-F16+100)))</f>
        <v>0.574468085106383</v>
      </c>
      <c r="I16" s="5" t="n">
        <f aca="false">IF(F16="","",D16*IF(F16&gt;0,1+F16/100,1+100/-F16)-1)</f>
        <v>-0.167055555555556</v>
      </c>
      <c r="J16" s="5" t="n">
        <f aca="false">IF(F16="","",MAX(0,MIN(0.02,0.25*((IF(F16&gt;0,F16/100,100/-F16))*D16-(1-D16))/IF(F16&gt;0,F16/100,100/-F16))))</f>
        <v>0</v>
      </c>
      <c r="K16" s="0" t="n">
        <v>114</v>
      </c>
      <c r="L16" s="0" t="str">
        <f aca="false">IF(F16="","",IF(I16&gt;=0.025,"YES","no"))</f>
        <v>no</v>
      </c>
    </row>
    <row r="17" customFormat="false" ht="15" hidden="false" customHeight="false" outlineLevel="0" collapsed="false">
      <c r="A17" s="0" t="s">
        <v>98</v>
      </c>
      <c r="B17" s="0" t="s">
        <v>113</v>
      </c>
      <c r="C17" s="0" t="s">
        <v>120</v>
      </c>
      <c r="D17" s="0" t="n">
        <v>0.5215</v>
      </c>
      <c r="E17" s="0" t="n">
        <f aca="false">IF(D17&gt;=0.5,-100*D17/(1-D17),100*(1-D17)/D17)</f>
        <v>-108.986415882968</v>
      </c>
      <c r="F17" s="4" t="n">
        <v>-110</v>
      </c>
      <c r="G17" s="5" t="s">
        <v>119</v>
      </c>
      <c r="H17" s="5" t="n">
        <f aca="false">IF(F17="","",IF(F17&gt;0,100/(F17+100),-F17/(-F17+100)))</f>
        <v>0.523809523809524</v>
      </c>
      <c r="I17" s="5" t="n">
        <f aca="false">IF(F17="","",D17*IF(F17&gt;0,1+F17/100,1+100/-F17)-1)</f>
        <v>-0.00440909090909092</v>
      </c>
      <c r="J17" s="5" t="n">
        <f aca="false">IF(F17="","",MAX(0,MIN(0.02,0.25*((IF(F17&gt;0,F17/100,100/-F17))*D17-(1-D17))/IF(F17&gt;0,F17/100,100/-F17))))</f>
        <v>0</v>
      </c>
      <c r="K17" s="0" t="n">
        <v>-104</v>
      </c>
      <c r="L17" s="0" t="str">
        <f aca="false">IF(F17="","",IF(I17&gt;=0.025,"YES","no"))</f>
        <v>no</v>
      </c>
    </row>
    <row r="18" customFormat="false" ht="15" hidden="false" customHeight="false" outlineLevel="0" collapsed="false">
      <c r="A18" s="0" t="s">
        <v>98</v>
      </c>
      <c r="B18" s="0" t="s">
        <v>113</v>
      </c>
      <c r="C18" s="0" t="s">
        <v>121</v>
      </c>
      <c r="D18" s="0" t="n">
        <v>0.4225</v>
      </c>
      <c r="E18" s="0" t="n">
        <f aca="false">IF(D18&gt;=0.5,-100*D18/(1-D18),100*(1-D18)/D18)</f>
        <v>136.686390532544</v>
      </c>
      <c r="F18" s="4"/>
      <c r="G18" s="5" t="s">
        <v>105</v>
      </c>
      <c r="H18" s="0" t="str">
        <f aca="false">IF(F18="","",IF(F18&gt;0,100/(F18+100),-F18/(-F18+100)))</f>
        <v/>
      </c>
      <c r="I18" s="0" t="str">
        <f aca="false">IF(F18="","",D18*IF(F18&gt;0,1+F18/100,1+100/-F18)-1)</f>
        <v/>
      </c>
      <c r="J18" s="0" t="str">
        <f aca="false">IF(F18="","",MAX(0,MIN(0.02,0.25*((IF(F18&gt;0,F18/100,100/-F18))*D18-(1-D18))/IF(F18&gt;0,F18/100,100/-F18))))</f>
        <v/>
      </c>
      <c r="K18" s="0" t="n">
        <v>143</v>
      </c>
      <c r="L18" s="0" t="str">
        <f aca="false">IF(F18="","",IF(I18&gt;=0.025,"YES","no"))</f>
        <v/>
      </c>
    </row>
    <row r="19" customFormat="false" ht="15" hidden="false" customHeight="false" outlineLevel="0" collapsed="false">
      <c r="A19" s="0" t="s">
        <v>98</v>
      </c>
      <c r="B19" s="0" t="s">
        <v>113</v>
      </c>
      <c r="C19" s="0" t="s">
        <v>122</v>
      </c>
      <c r="D19" s="0" t="n">
        <v>0.5775</v>
      </c>
      <c r="E19" s="0" t="n">
        <f aca="false">IF(D19&gt;=0.5,-100*D19/(1-D19),100*(1-D19)/D19)</f>
        <v>-136.686390532544</v>
      </c>
      <c r="F19" s="4"/>
      <c r="G19" s="5" t="s">
        <v>105</v>
      </c>
      <c r="H19" s="0" t="str">
        <f aca="false">IF(F19="","",IF(F19&gt;0,100/(F19+100),-F19/(-F19+100)))</f>
        <v/>
      </c>
      <c r="I19" s="0" t="str">
        <f aca="false">IF(F19="","",D19*IF(F19&gt;0,1+F19/100,1+100/-F19)-1)</f>
        <v/>
      </c>
      <c r="J19" s="0" t="str">
        <f aca="false">IF(F19="","",MAX(0,MIN(0.02,0.25*((IF(F19&gt;0,F19/100,100/-F19))*D19-(1-D19))/IF(F19&gt;0,F19/100,100/-F19))))</f>
        <v/>
      </c>
      <c r="K19" s="0" t="n">
        <v>-129</v>
      </c>
      <c r="L19" s="0" t="str">
        <f aca="false">IF(F19="","",IF(I19&gt;=0.025,"YES","no"))</f>
        <v/>
      </c>
    </row>
    <row r="20" customFormat="false" ht="15" hidden="false" customHeight="false" outlineLevel="0" collapsed="false">
      <c r="A20" s="0" t="s">
        <v>98</v>
      </c>
      <c r="B20" s="0" t="s">
        <v>113</v>
      </c>
      <c r="C20" s="0" t="s">
        <v>123</v>
      </c>
      <c r="D20" s="0" t="n">
        <v>0.4089</v>
      </c>
      <c r="E20" s="0" t="n">
        <f aca="false">IF(D20&gt;=0.5,-100*D20/(1-D20),100*(1-D20)/D20)</f>
        <v>144.558571777941</v>
      </c>
      <c r="F20" s="4"/>
      <c r="G20" s="5" t="s">
        <v>105</v>
      </c>
      <c r="H20" s="0" t="str">
        <f aca="false">IF(F20="","",IF(F20&gt;0,100/(F20+100),-F20/(-F20+100)))</f>
        <v/>
      </c>
      <c r="I20" s="0" t="str">
        <f aca="false">IF(F20="","",D20*IF(F20&gt;0,1+F20/100,1+100/-F20)-1)</f>
        <v/>
      </c>
      <c r="J20" s="0" t="str">
        <f aca="false">IF(F20="","",MAX(0,MIN(0.02,0.25*((IF(F20&gt;0,F20/100,100/-F20))*D20-(1-D20))/IF(F20&gt;0,F20/100,100/-F20))))</f>
        <v/>
      </c>
      <c r="K20" s="0" t="n">
        <v>151</v>
      </c>
      <c r="L20" s="0" t="str">
        <f aca="false">IF(F20="","",IF(I20&gt;=0.025,"YES","no"))</f>
        <v/>
      </c>
    </row>
    <row r="21" customFormat="false" ht="15" hidden="false" customHeight="false" outlineLevel="0" collapsed="false">
      <c r="A21" s="0" t="s">
        <v>98</v>
      </c>
      <c r="B21" s="0" t="s">
        <v>113</v>
      </c>
      <c r="C21" s="0" t="s">
        <v>124</v>
      </c>
      <c r="D21" s="0" t="n">
        <v>0.5911</v>
      </c>
      <c r="E21" s="0" t="n">
        <f aca="false">IF(D21&gt;=0.5,-100*D21/(1-D21),100*(1-D21)/D21)</f>
        <v>-144.558571777941</v>
      </c>
      <c r="F21" s="4"/>
      <c r="G21" s="5" t="s">
        <v>105</v>
      </c>
      <c r="H21" s="0" t="str">
        <f aca="false">IF(F21="","",IF(F21&gt;0,100/(F21+100),-F21/(-F21+100)))</f>
        <v/>
      </c>
      <c r="I21" s="0" t="str">
        <f aca="false">IF(F21="","",D21*IF(F21&gt;0,1+F21/100,1+100/-F21)-1)</f>
        <v/>
      </c>
      <c r="J21" s="0" t="str">
        <f aca="false">IF(F21="","",MAX(0,MIN(0.02,0.25*((IF(F21&gt;0,F21/100,100/-F21))*D21-(1-D21))/IF(F21&gt;0,F21/100,100/-F21))))</f>
        <v/>
      </c>
      <c r="K21" s="0" t="n">
        <v>-136</v>
      </c>
      <c r="L21" s="0" t="str">
        <f aca="false">IF(F21="","",IF(I21&gt;=0.025,"YES","no"))</f>
        <v/>
      </c>
    </row>
    <row r="22" customFormat="false" ht="15" hidden="false" customHeight="false" outlineLevel="0" collapsed="false">
      <c r="A22" s="0" t="s">
        <v>98</v>
      </c>
      <c r="B22" s="0" t="s">
        <v>125</v>
      </c>
      <c r="C22" s="0" t="s">
        <v>126</v>
      </c>
      <c r="D22" s="0" t="n">
        <v>0.451</v>
      </c>
      <c r="E22" s="0" t="n">
        <f aca="false">IF(D22&gt;=0.5,-100*D22/(1-D22),100*(1-D22)/D22)</f>
        <v>121.729490022173</v>
      </c>
      <c r="F22" s="4"/>
      <c r="G22" s="5" t="s">
        <v>105</v>
      </c>
      <c r="H22" s="0" t="str">
        <f aca="false">IF(F22="","",IF(F22&gt;0,100/(F22+100),-F22/(-F22+100)))</f>
        <v/>
      </c>
      <c r="I22" s="0" t="str">
        <f aca="false">IF(F22="","",D22*IF(F22&gt;0,1+F22/100,1+100/-F22)-1)</f>
        <v/>
      </c>
      <c r="J22" s="0" t="str">
        <f aca="false">IF(F22="","",MAX(0,MIN(0.02,0.25*((IF(F22&gt;0,F22/100,100/-F22))*D22-(1-D22))/IF(F22&gt;0,F22/100,100/-F22))))</f>
        <v/>
      </c>
      <c r="K22" s="0" t="n">
        <v>127</v>
      </c>
      <c r="L22" s="0" t="str">
        <f aca="false">IF(F22="","",IF(I22&gt;=0.025,"YES","no"))</f>
        <v/>
      </c>
    </row>
    <row r="23" customFormat="false" ht="15" hidden="false" customHeight="false" outlineLevel="0" collapsed="false">
      <c r="A23" s="0" t="s">
        <v>98</v>
      </c>
      <c r="B23" s="0" t="s">
        <v>125</v>
      </c>
      <c r="C23" s="0" t="s">
        <v>127</v>
      </c>
      <c r="D23" s="0" t="n">
        <v>0.549</v>
      </c>
      <c r="E23" s="0" t="n">
        <f aca="false">IF(D23&gt;=0.5,-100*D23/(1-D23),100*(1-D23)/D23)</f>
        <v>-121.729490022173</v>
      </c>
      <c r="F23" s="4"/>
      <c r="G23" s="5" t="s">
        <v>105</v>
      </c>
      <c r="H23" s="0" t="str">
        <f aca="false">IF(F23="","",IF(F23&gt;0,100/(F23+100),-F23/(-F23+100)))</f>
        <v/>
      </c>
      <c r="I23" s="0" t="str">
        <f aca="false">IF(F23="","",D23*IF(F23&gt;0,1+F23/100,1+100/-F23)-1)</f>
        <v/>
      </c>
      <c r="J23" s="0" t="str">
        <f aca="false">IF(F23="","",MAX(0,MIN(0.02,0.25*((IF(F23&gt;0,F23/100,100/-F23))*D23-(1-D23))/IF(F23&gt;0,F23/100,100/-F23))))</f>
        <v/>
      </c>
      <c r="K23" s="0" t="n">
        <v>-115</v>
      </c>
      <c r="L23" s="0" t="str">
        <f aca="false">IF(F23="","",IF(I23&gt;=0.025,"YES","no"))</f>
        <v/>
      </c>
    </row>
    <row r="24" customFormat="false" ht="15" hidden="false" customHeight="false" outlineLevel="0" collapsed="false">
      <c r="A24" s="0" t="s">
        <v>98</v>
      </c>
      <c r="B24" s="0" t="s">
        <v>125</v>
      </c>
      <c r="C24" s="0" t="s">
        <v>128</v>
      </c>
      <c r="D24" s="0" t="n">
        <v>0.4458</v>
      </c>
      <c r="E24" s="0" t="n">
        <f aca="false">IF(D24&gt;=0.5,-100*D24/(1-D24),100*(1-D24)/D24)</f>
        <v>124.315836698071</v>
      </c>
      <c r="F24" s="4"/>
      <c r="G24" s="5" t="s">
        <v>105</v>
      </c>
      <c r="H24" s="0" t="str">
        <f aca="false">IF(F24="","",IF(F24&gt;0,100/(F24+100),-F24/(-F24+100)))</f>
        <v/>
      </c>
      <c r="I24" s="0" t="str">
        <f aca="false">IF(F24="","",D24*IF(F24&gt;0,1+F24/100,1+100/-F24)-1)</f>
        <v/>
      </c>
      <c r="J24" s="0" t="str">
        <f aca="false">IF(F24="","",MAX(0,MIN(0.02,0.25*((IF(F24&gt;0,F24/100,100/-F24))*D24-(1-D24))/IF(F24&gt;0,F24/100,100/-F24))))</f>
        <v/>
      </c>
      <c r="K24" s="0" t="n">
        <v>130</v>
      </c>
      <c r="L24" s="0" t="str">
        <f aca="false">IF(F24="","",IF(I24&gt;=0.025,"YES","no"))</f>
        <v/>
      </c>
    </row>
    <row r="25" customFormat="false" ht="15" hidden="false" customHeight="false" outlineLevel="0" collapsed="false">
      <c r="A25" s="0" t="s">
        <v>98</v>
      </c>
      <c r="B25" s="0" t="s">
        <v>125</v>
      </c>
      <c r="C25" s="0" t="s">
        <v>129</v>
      </c>
      <c r="D25" s="0" t="n">
        <v>0.5542</v>
      </c>
      <c r="E25" s="0" t="n">
        <f aca="false">IF(D25&gt;=0.5,-100*D25/(1-D25),100*(1-D25)/D25)</f>
        <v>-124.315836698071</v>
      </c>
      <c r="F25" s="4"/>
      <c r="G25" s="5" t="s">
        <v>105</v>
      </c>
      <c r="H25" s="0" t="str">
        <f aca="false">IF(F25="","",IF(F25&gt;0,100/(F25+100),-F25/(-F25+100)))</f>
        <v/>
      </c>
      <c r="I25" s="0" t="str">
        <f aca="false">IF(F25="","",D25*IF(F25&gt;0,1+F25/100,1+100/-F25)-1)</f>
        <v/>
      </c>
      <c r="J25" s="0" t="str">
        <f aca="false">IF(F25="","",MAX(0,MIN(0.02,0.25*((IF(F25&gt;0,F25/100,100/-F25))*D25-(1-D25))/IF(F25&gt;0,F25/100,100/-F25))))</f>
        <v/>
      </c>
      <c r="K25" s="0" t="n">
        <v>-118</v>
      </c>
      <c r="L25" s="0" t="str">
        <f aca="false">IF(F25="","",IF(I25&gt;=0.025,"YES","no"))</f>
        <v/>
      </c>
    </row>
    <row r="26" customFormat="false" ht="15" hidden="false" customHeight="false" outlineLevel="0" collapsed="false">
      <c r="A26" s="0" t="s">
        <v>98</v>
      </c>
      <c r="B26" s="0" t="s">
        <v>125</v>
      </c>
      <c r="C26" s="0" t="s">
        <v>130</v>
      </c>
      <c r="D26" s="0" t="n">
        <v>0.3968</v>
      </c>
      <c r="E26" s="0" t="n">
        <f aca="false">IF(D26&gt;=0.5,-100*D26/(1-D26),100*(1-D26)/D26)</f>
        <v>152.016129032258</v>
      </c>
      <c r="F26" s="4"/>
      <c r="G26" s="5" t="s">
        <v>105</v>
      </c>
      <c r="H26" s="0" t="str">
        <f aca="false">IF(F26="","",IF(F26&gt;0,100/(F26+100),-F26/(-F26+100)))</f>
        <v/>
      </c>
      <c r="I26" s="0" t="str">
        <f aca="false">IF(F26="","",D26*IF(F26&gt;0,1+F26/100,1+100/-F26)-1)</f>
        <v/>
      </c>
      <c r="J26" s="0" t="str">
        <f aca="false">IF(F26="","",MAX(0,MIN(0.02,0.25*((IF(F26&gt;0,F26/100,100/-F26))*D26-(1-D26))/IF(F26&gt;0,F26/100,100/-F26))))</f>
        <v/>
      </c>
      <c r="K26" s="0" t="n">
        <v>158</v>
      </c>
      <c r="L26" s="0" t="str">
        <f aca="false">IF(F26="","",IF(I26&gt;=0.025,"YES","no"))</f>
        <v/>
      </c>
    </row>
    <row r="27" customFormat="false" ht="15" hidden="false" customHeight="false" outlineLevel="0" collapsed="false">
      <c r="A27" s="0" t="s">
        <v>98</v>
      </c>
      <c r="B27" s="0" t="s">
        <v>125</v>
      </c>
      <c r="C27" s="0" t="s">
        <v>131</v>
      </c>
      <c r="D27" s="0" t="n">
        <v>0.6032</v>
      </c>
      <c r="E27" s="0" t="n">
        <f aca="false">IF(D27&gt;=0.5,-100*D27/(1-D27),100*(1-D27)/D27)</f>
        <v>-152.016129032258</v>
      </c>
      <c r="F27" s="4"/>
      <c r="G27" s="5" t="s">
        <v>105</v>
      </c>
      <c r="H27" s="0" t="str">
        <f aca="false">IF(F27="","",IF(F27&gt;0,100/(F27+100),-F27/(-F27+100)))</f>
        <v/>
      </c>
      <c r="I27" s="0" t="str">
        <f aca="false">IF(F27="","",D27*IF(F27&gt;0,1+F27/100,1+100/-F27)-1)</f>
        <v/>
      </c>
      <c r="J27" s="0" t="str">
        <f aca="false">IF(F27="","",MAX(0,MIN(0.02,0.25*((IF(F27&gt;0,F27/100,100/-F27))*D27-(1-D27))/IF(F27&gt;0,F27/100,100/-F27))))</f>
        <v/>
      </c>
      <c r="K27" s="0" t="n">
        <v>-143</v>
      </c>
      <c r="L27" s="0" t="str">
        <f aca="false">IF(F27="","",IF(I27&gt;=0.025,"YES","no"))</f>
        <v/>
      </c>
    </row>
    <row r="28" customFormat="false" ht="15" hidden="false" customHeight="false" outlineLevel="0" collapsed="false">
      <c r="A28" s="0" t="s">
        <v>98</v>
      </c>
      <c r="B28" s="0" t="s">
        <v>125</v>
      </c>
      <c r="C28" s="0" t="s">
        <v>132</v>
      </c>
      <c r="D28" s="0" t="n">
        <v>0.3959</v>
      </c>
      <c r="E28" s="0" t="n">
        <f aca="false">IF(D28&gt;=0.5,-100*D28/(1-D28),100*(1-D28)/D28)</f>
        <v>152.589037635767</v>
      </c>
      <c r="F28" s="4"/>
      <c r="G28" s="5" t="s">
        <v>105</v>
      </c>
      <c r="H28" s="0" t="str">
        <f aca="false">IF(F28="","",IF(F28&gt;0,100/(F28+100),-F28/(-F28+100)))</f>
        <v/>
      </c>
      <c r="I28" s="0" t="str">
        <f aca="false">IF(F28="","",D28*IF(F28&gt;0,1+F28/100,1+100/-F28)-1)</f>
        <v/>
      </c>
      <c r="J28" s="0" t="str">
        <f aca="false">IF(F28="","",MAX(0,MIN(0.02,0.25*((IF(F28&gt;0,F28/100,100/-F28))*D28-(1-D28))/IF(F28&gt;0,F28/100,100/-F28))))</f>
        <v/>
      </c>
      <c r="K28" s="0" t="n">
        <v>159</v>
      </c>
      <c r="L28" s="0" t="str">
        <f aca="false">IF(F28="","",IF(I28&gt;=0.025,"YES","no"))</f>
        <v/>
      </c>
    </row>
    <row r="29" customFormat="false" ht="15" hidden="false" customHeight="false" outlineLevel="0" collapsed="false">
      <c r="A29" s="0" t="s">
        <v>98</v>
      </c>
      <c r="B29" s="0" t="s">
        <v>125</v>
      </c>
      <c r="C29" s="0" t="s">
        <v>133</v>
      </c>
      <c r="D29" s="0" t="n">
        <v>0.6041</v>
      </c>
      <c r="E29" s="0" t="n">
        <f aca="false">IF(D29&gt;=0.5,-100*D29/(1-D29),100*(1-D29)/D29)</f>
        <v>-152.589037635767</v>
      </c>
      <c r="F29" s="4"/>
      <c r="G29" s="5" t="s">
        <v>105</v>
      </c>
      <c r="H29" s="0" t="str">
        <f aca="false">IF(F29="","",IF(F29&gt;0,100/(F29+100),-F29/(-F29+100)))</f>
        <v/>
      </c>
      <c r="I29" s="0" t="str">
        <f aca="false">IF(F29="","",D29*IF(F29&gt;0,1+F29/100,1+100/-F29)-1)</f>
        <v/>
      </c>
      <c r="J29" s="0" t="str">
        <f aca="false">IF(F29="","",MAX(0,MIN(0.02,0.25*((IF(F29&gt;0,F29/100,100/-F29))*D29-(1-D29))/IF(F29&gt;0,F29/100,100/-F29))))</f>
        <v/>
      </c>
      <c r="K29" s="0" t="n">
        <v>-144</v>
      </c>
      <c r="L29" s="0" t="str">
        <f aca="false">IF(F29="","",IF(I29&gt;=0.025,"YES","no"))</f>
        <v/>
      </c>
    </row>
    <row r="30" customFormat="false" ht="15" hidden="false" customHeight="false" outlineLevel="0" collapsed="false">
      <c r="A30" s="0" t="s">
        <v>98</v>
      </c>
      <c r="B30" s="0" t="s">
        <v>125</v>
      </c>
      <c r="C30" s="0" t="s">
        <v>134</v>
      </c>
      <c r="D30" s="0" t="n">
        <v>0.3249</v>
      </c>
      <c r="E30" s="0" t="n">
        <f aca="false">IF(D30&gt;=0.5,-100*D30/(1-D30),100*(1-D30)/D30)</f>
        <v>207.787011388119</v>
      </c>
      <c r="F30" s="4"/>
      <c r="G30" s="5" t="s">
        <v>105</v>
      </c>
      <c r="H30" s="0" t="str">
        <f aca="false">IF(F30="","",IF(F30&gt;0,100/(F30+100),-F30/(-F30+100)))</f>
        <v/>
      </c>
      <c r="I30" s="0" t="str">
        <f aca="false">IF(F30="","",D30*IF(F30&gt;0,1+F30/100,1+100/-F30)-1)</f>
        <v/>
      </c>
      <c r="J30" s="0" t="str">
        <f aca="false">IF(F30="","",MAX(0,MIN(0.02,0.25*((IF(F30&gt;0,F30/100,100/-F30))*D30-(1-D30))/IF(F30&gt;0,F30/100,100/-F30))))</f>
        <v/>
      </c>
      <c r="K30" s="0" t="n">
        <v>216</v>
      </c>
      <c r="L30" s="0" t="str">
        <f aca="false">IF(F30="","",IF(I30&gt;=0.025,"YES","no"))</f>
        <v/>
      </c>
    </row>
    <row r="31" customFormat="false" ht="15" hidden="false" customHeight="false" outlineLevel="0" collapsed="false">
      <c r="A31" s="0" t="s">
        <v>98</v>
      </c>
      <c r="B31" s="0" t="s">
        <v>125</v>
      </c>
      <c r="C31" s="0" t="s">
        <v>135</v>
      </c>
      <c r="D31" s="0" t="n">
        <v>0.6752</v>
      </c>
      <c r="E31" s="0" t="n">
        <f aca="false">IF(D31&gt;=0.5,-100*D31/(1-D31),100*(1-D31)/D31)</f>
        <v>-207.881773399015</v>
      </c>
      <c r="F31" s="4"/>
      <c r="G31" s="5" t="s">
        <v>105</v>
      </c>
      <c r="H31" s="0" t="str">
        <f aca="false">IF(F31="","",IF(F31&gt;0,100/(F31+100),-F31/(-F31+100)))</f>
        <v/>
      </c>
      <c r="I31" s="0" t="str">
        <f aca="false">IF(F31="","",D31*IF(F31&gt;0,1+F31/100,1+100/-F31)-1)</f>
        <v/>
      </c>
      <c r="J31" s="0" t="str">
        <f aca="false">IF(F31="","",MAX(0,MIN(0.02,0.25*((IF(F31&gt;0,F31/100,100/-F31))*D31-(1-D31))/IF(F31&gt;0,F31/100,100/-F31))))</f>
        <v/>
      </c>
      <c r="K31" s="0" t="n">
        <v>-193</v>
      </c>
      <c r="L31" s="0" t="str">
        <f aca="false">IF(F31="","",IF(I31&gt;=0.025,"YES","no"))</f>
        <v/>
      </c>
    </row>
    <row r="32" customFormat="false" ht="15" hidden="false" customHeight="false" outlineLevel="0" collapsed="false">
      <c r="A32" s="0" t="s">
        <v>98</v>
      </c>
      <c r="B32" s="0" t="s">
        <v>125</v>
      </c>
      <c r="C32" s="0" t="s">
        <v>136</v>
      </c>
      <c r="D32" s="0" t="n">
        <v>0.3274</v>
      </c>
      <c r="E32" s="0" t="n">
        <f aca="false">IF(D32&gt;=0.5,-100*D32/(1-D32),100*(1-D32)/D32)</f>
        <v>205.43677458766</v>
      </c>
      <c r="F32" s="4"/>
      <c r="G32" s="5" t="s">
        <v>105</v>
      </c>
      <c r="H32" s="0" t="str">
        <f aca="false">IF(F32="","",IF(F32&gt;0,100/(F32+100),-F32/(-F32+100)))</f>
        <v/>
      </c>
      <c r="I32" s="0" t="str">
        <f aca="false">IF(F32="","",D32*IF(F32&gt;0,1+F32/100,1+100/-F32)-1)</f>
        <v/>
      </c>
      <c r="J32" s="0" t="str">
        <f aca="false">IF(F32="","",MAX(0,MIN(0.02,0.25*((IF(F32&gt;0,F32/100,100/-F32))*D32-(1-D32))/IF(F32&gt;0,F32/100,100/-F32))))</f>
        <v/>
      </c>
      <c r="K32" s="0" t="n">
        <v>213</v>
      </c>
      <c r="L32" s="0" t="str">
        <f aca="false">IF(F32="","",IF(I32&gt;=0.025,"YES","no"))</f>
        <v/>
      </c>
    </row>
    <row r="33" customFormat="false" ht="15" hidden="false" customHeight="false" outlineLevel="0" collapsed="false">
      <c r="A33" s="0" t="s">
        <v>98</v>
      </c>
      <c r="B33" s="0" t="s">
        <v>125</v>
      </c>
      <c r="C33" s="0" t="s">
        <v>137</v>
      </c>
      <c r="D33" s="0" t="n">
        <v>0.6726</v>
      </c>
      <c r="E33" s="0" t="n">
        <f aca="false">IF(D33&gt;=0.5,-100*D33/(1-D33),100*(1-D33)/D33)</f>
        <v>-205.43677458766</v>
      </c>
      <c r="F33" s="4"/>
      <c r="G33" s="5" t="s">
        <v>105</v>
      </c>
      <c r="H33" s="0" t="str">
        <f aca="false">IF(F33="","",IF(F33&gt;0,100/(F33+100),-F33/(-F33+100)))</f>
        <v/>
      </c>
      <c r="I33" s="0" t="str">
        <f aca="false">IF(F33="","",D33*IF(F33&gt;0,1+F33/100,1+100/-F33)-1)</f>
        <v/>
      </c>
      <c r="J33" s="0" t="str">
        <f aca="false">IF(F33="","",MAX(0,MIN(0.02,0.25*((IF(F33&gt;0,F33/100,100/-F33))*D33-(1-D33))/IF(F33&gt;0,F33/100,100/-F33))))</f>
        <v/>
      </c>
      <c r="K33" s="0" t="n">
        <v>-191</v>
      </c>
      <c r="L33" s="0" t="str">
        <f aca="false">IF(F33="","",IF(I33&gt;=0.025,"YES","no"))</f>
        <v/>
      </c>
    </row>
    <row r="34" customFormat="false" ht="15" hidden="false" customHeight="false" outlineLevel="0" collapsed="false">
      <c r="A34" s="0" t="s">
        <v>98</v>
      </c>
      <c r="B34" s="0" t="s">
        <v>138</v>
      </c>
      <c r="C34" s="0" t="s">
        <v>139</v>
      </c>
      <c r="D34" s="0" t="n">
        <v>0.3822</v>
      </c>
      <c r="E34" s="0" t="n">
        <f aca="false">IF(D34&gt;=0.5,-100*D34/(1-D34),100*(1-D34)/D34)</f>
        <v>161.643118785976</v>
      </c>
      <c r="F34" s="4"/>
      <c r="G34" s="5" t="s">
        <v>105</v>
      </c>
      <c r="H34" s="0" t="str">
        <f aca="false">IF(F34="","",IF(F34&gt;0,100/(F34+100),-F34/(-F34+100)))</f>
        <v/>
      </c>
      <c r="I34" s="0" t="str">
        <f aca="false">IF(F34="","",D34*IF(F34&gt;0,1+F34/100,1+100/-F34)-1)</f>
        <v/>
      </c>
      <c r="J34" s="0" t="str">
        <f aca="false">IF(F34="","",MAX(0,MIN(0.02,0.25*((IF(F34&gt;0,F34/100,100/-F34))*D34-(1-D34))/IF(F34&gt;0,F34/100,100/-F34))))</f>
        <v/>
      </c>
      <c r="K34" s="0" t="n">
        <v>168</v>
      </c>
      <c r="L34" s="0" t="str">
        <f aca="false">IF(F34="","",IF(I34&gt;=0.025,"YES","no"))</f>
        <v/>
      </c>
    </row>
    <row r="35" customFormat="false" ht="15" hidden="false" customHeight="false" outlineLevel="0" collapsed="false">
      <c r="A35" s="0" t="s">
        <v>98</v>
      </c>
      <c r="B35" s="0" t="s">
        <v>138</v>
      </c>
      <c r="C35" s="0" t="s">
        <v>140</v>
      </c>
      <c r="D35" s="0" t="n">
        <v>0.6178</v>
      </c>
      <c r="E35" s="0" t="n">
        <f aca="false">IF(D35&gt;=0.5,-100*D35/(1-D35),100*(1-D35)/D35)</f>
        <v>-161.643118785976</v>
      </c>
      <c r="F35" s="4"/>
      <c r="G35" s="5" t="s">
        <v>105</v>
      </c>
      <c r="H35" s="0" t="str">
        <f aca="false">IF(F35="","",IF(F35&gt;0,100/(F35+100),-F35/(-F35+100)))</f>
        <v/>
      </c>
      <c r="I35" s="0" t="str">
        <f aca="false">IF(F35="","",D35*IF(F35&gt;0,1+F35/100,1+100/-F35)-1)</f>
        <v/>
      </c>
      <c r="J35" s="0" t="str">
        <f aca="false">IF(F35="","",MAX(0,MIN(0.02,0.25*((IF(F35&gt;0,F35/100,100/-F35))*D35-(1-D35))/IF(F35&gt;0,F35/100,100/-F35))))</f>
        <v/>
      </c>
      <c r="K35" s="0" t="n">
        <v>-152</v>
      </c>
      <c r="L35" s="0" t="str">
        <f aca="false">IF(F35="","",IF(I35&gt;=0.025,"YES","no"))</f>
        <v/>
      </c>
    </row>
    <row r="36" customFormat="false" ht="15" hidden="false" customHeight="false" outlineLevel="0" collapsed="false">
      <c r="A36" s="0" t="s">
        <v>98</v>
      </c>
      <c r="B36" s="0" t="s">
        <v>141</v>
      </c>
      <c r="C36" s="0" t="s">
        <v>100</v>
      </c>
      <c r="D36" s="0" t="n">
        <v>0.4994</v>
      </c>
      <c r="E36" s="0" t="n">
        <f aca="false">IF(D36&gt;=0.5,-100*D36/(1-D36),100*(1-D36)/D36)</f>
        <v>100.240288346015</v>
      </c>
      <c r="F36" s="4"/>
      <c r="G36" s="5" t="s">
        <v>105</v>
      </c>
      <c r="H36" s="0" t="str">
        <f aca="false">IF(F36="","",IF(F36&gt;0,100/(F36+100),-F36/(-F36+100)))</f>
        <v/>
      </c>
      <c r="I36" s="0" t="str">
        <f aca="false">IF(F36="","",D36*IF(F36&gt;0,1+F36/100,1+100/-F36)-1)</f>
        <v/>
      </c>
      <c r="J36" s="0" t="str">
        <f aca="false">IF(F36="","",MAX(0,MIN(0.02,0.25*((IF(F36&gt;0,F36/100,100/-F36))*D36-(1-D36))/IF(F36&gt;0,F36/100,100/-F36))))</f>
        <v/>
      </c>
      <c r="K36" s="0" t="n">
        <v>105</v>
      </c>
      <c r="L36" s="0" t="str">
        <f aca="false">IF(F36="","",IF(I36&gt;=0.025,"YES","no"))</f>
        <v/>
      </c>
    </row>
    <row r="37" customFormat="false" ht="15" hidden="false" customHeight="false" outlineLevel="0" collapsed="false">
      <c r="A37" s="0" t="s">
        <v>98</v>
      </c>
      <c r="B37" s="0" t="s">
        <v>141</v>
      </c>
      <c r="C37" s="0" t="s">
        <v>102</v>
      </c>
      <c r="D37" s="0" t="n">
        <v>0.5006</v>
      </c>
      <c r="E37" s="0" t="n">
        <f aca="false">IF(D37&gt;=0.5,-100*D37/(1-D37),100*(1-D37)/D37)</f>
        <v>-100.240288346015</v>
      </c>
      <c r="F37" s="4"/>
      <c r="G37" s="5" t="s">
        <v>105</v>
      </c>
      <c r="H37" s="0" t="str">
        <f aca="false">IF(F37="","",IF(F37&gt;0,100/(F37+100),-F37/(-F37+100)))</f>
        <v/>
      </c>
      <c r="I37" s="0" t="str">
        <f aca="false">IF(F37="","",D37*IF(F37&gt;0,1+F37/100,1+100/-F37)-1)</f>
        <v/>
      </c>
      <c r="J37" s="0" t="str">
        <f aca="false">IF(F37="","",MAX(0,MIN(0.02,0.25*((IF(F37&gt;0,F37/100,100/-F37))*D37-(1-D37))/IF(F37&gt;0,F37/100,100/-F37))))</f>
        <v/>
      </c>
      <c r="K37" s="0" t="n">
        <v>105</v>
      </c>
      <c r="L37" s="0" t="str">
        <f aca="false">IF(F37="","",IF(I37&gt;=0.025,"YES","no"))</f>
        <v/>
      </c>
    </row>
    <row r="38" customFormat="false" ht="15" hidden="false" customHeight="false" outlineLevel="0" collapsed="false">
      <c r="A38" s="0" t="s">
        <v>98</v>
      </c>
      <c r="B38" s="0" t="s">
        <v>142</v>
      </c>
      <c r="C38" s="0" t="s">
        <v>143</v>
      </c>
      <c r="D38" s="0" t="n">
        <v>0.3023</v>
      </c>
      <c r="E38" s="0" t="n">
        <f aca="false">IF(D38&gt;=0.5,-100*D38/(1-D38),100*(1-D38)/D38)</f>
        <v>230.797221303341</v>
      </c>
      <c r="F38" s="4"/>
      <c r="G38" s="5" t="s">
        <v>105</v>
      </c>
      <c r="H38" s="0" t="str">
        <f aca="false">IF(F38="","",IF(F38&gt;0,100/(F38+100),-F38/(-F38+100)))</f>
        <v/>
      </c>
      <c r="I38" s="0" t="str">
        <f aca="false">IF(F38="","",D38*IF(F38&gt;0,1+F38/100,1+100/-F38)-1)</f>
        <v/>
      </c>
      <c r="J38" s="0" t="str">
        <f aca="false">IF(F38="","",MAX(0,MIN(0.02,0.25*((IF(F38&gt;0,F38/100,100/-F38))*D38-(1-D38))/IF(F38&gt;0,F38/100,100/-F38))))</f>
        <v/>
      </c>
      <c r="K38" s="0" t="n">
        <v>239</v>
      </c>
      <c r="L38" s="0" t="str">
        <f aca="false">IF(F38="","",IF(I38&gt;=0.025,"YES","no"))</f>
        <v/>
      </c>
    </row>
    <row r="39" customFormat="false" ht="15" hidden="false" customHeight="false" outlineLevel="0" collapsed="false">
      <c r="A39" s="0" t="s">
        <v>98</v>
      </c>
      <c r="B39" s="0" t="s">
        <v>142</v>
      </c>
      <c r="C39" s="0" t="s">
        <v>144</v>
      </c>
      <c r="D39" s="0" t="n">
        <v>0.3141</v>
      </c>
      <c r="E39" s="0" t="n">
        <f aca="false">IF(D39&gt;=0.5,-100*D39/(1-D39),100*(1-D39)/D39)</f>
        <v>218.369945877109</v>
      </c>
      <c r="F39" s="4"/>
      <c r="G39" s="5" t="s">
        <v>105</v>
      </c>
      <c r="H39" s="0" t="str">
        <f aca="false">IF(F39="","",IF(F39&gt;0,100/(F39+100),-F39/(-F39+100)))</f>
        <v/>
      </c>
      <c r="I39" s="0" t="str">
        <f aca="false">IF(F39="","",D39*IF(F39&gt;0,1+F39/100,1+100/-F39)-1)</f>
        <v/>
      </c>
      <c r="J39" s="0" t="str">
        <f aca="false">IF(F39="","",MAX(0,MIN(0.02,0.25*((IF(F39&gt;0,F39/100,100/-F39))*D39-(1-D39))/IF(F39&gt;0,F39/100,100/-F39))))</f>
        <v/>
      </c>
      <c r="K39" s="0" t="n">
        <v>226</v>
      </c>
      <c r="L39" s="0" t="str">
        <f aca="false">IF(F39="","",IF(I39&gt;=0.025,"YES","no"))</f>
        <v/>
      </c>
    </row>
    <row r="40" customFormat="false" ht="15" hidden="false" customHeight="false" outlineLevel="0" collapsed="false">
      <c r="A40" s="0" t="s">
        <v>98</v>
      </c>
      <c r="B40" s="0" t="s">
        <v>142</v>
      </c>
      <c r="C40" s="0" t="s">
        <v>145</v>
      </c>
      <c r="D40" s="0" t="n">
        <v>0.2024</v>
      </c>
      <c r="E40" s="0" t="n">
        <f aca="false">IF(D40&gt;=0.5,-100*D40/(1-D40),100*(1-D40)/D40)</f>
        <v>394.071146245059</v>
      </c>
      <c r="F40" s="4"/>
      <c r="G40" s="5" t="s">
        <v>105</v>
      </c>
      <c r="H40" s="0" t="str">
        <f aca="false">IF(F40="","",IF(F40&gt;0,100/(F40+100),-F40/(-F40+100)))</f>
        <v/>
      </c>
      <c r="I40" s="0" t="str">
        <f aca="false">IF(F40="","",D40*IF(F40&gt;0,1+F40/100,1+100/-F40)-1)</f>
        <v/>
      </c>
      <c r="J40" s="0" t="str">
        <f aca="false">IF(F40="","",MAX(0,MIN(0.02,0.25*((IF(F40&gt;0,F40/100,100/-F40))*D40-(1-D40))/IF(F40&gt;0,F40/100,100/-F40))))</f>
        <v/>
      </c>
      <c r="K40" s="0" t="n">
        <v>406</v>
      </c>
      <c r="L40" s="0" t="str">
        <f aca="false">IF(F40="","",IF(I40&gt;=0.025,"YES","no"))</f>
        <v/>
      </c>
    </row>
    <row r="41" customFormat="false" ht="15" hidden="false" customHeight="false" outlineLevel="0" collapsed="false">
      <c r="A41" s="0" t="s">
        <v>98</v>
      </c>
      <c r="B41" s="0" t="s">
        <v>142</v>
      </c>
      <c r="C41" s="0" t="s">
        <v>146</v>
      </c>
      <c r="D41" s="0" t="n">
        <v>0.1811</v>
      </c>
      <c r="E41" s="0" t="n">
        <f aca="false">IF(D41&gt;=0.5,-100*D41/(1-D41),100*(1-D41)/D41)</f>
        <v>452.181115405853</v>
      </c>
      <c r="F41" s="4"/>
      <c r="G41" s="5" t="s">
        <v>105</v>
      </c>
      <c r="H41" s="0" t="str">
        <f aca="false">IF(F41="","",IF(F41&gt;0,100/(F41+100),-F41/(-F41+100)))</f>
        <v/>
      </c>
      <c r="I41" s="0" t="str">
        <f aca="false">IF(F41="","",D41*IF(F41&gt;0,1+F41/100,1+100/-F41)-1)</f>
        <v/>
      </c>
      <c r="J41" s="0" t="str">
        <f aca="false">IF(F41="","",MAX(0,MIN(0.02,0.25*((IF(F41&gt;0,F41/100,100/-F41))*D41-(1-D41))/IF(F41&gt;0,F41/100,100/-F41))))</f>
        <v/>
      </c>
      <c r="K41" s="0" t="n">
        <v>466</v>
      </c>
      <c r="L41" s="0" t="str">
        <f aca="false">IF(F41="","",IF(I41&gt;=0.025,"YES","no"))</f>
        <v/>
      </c>
    </row>
    <row r="42" customFormat="false" ht="15" hidden="false" customHeight="false" outlineLevel="0" collapsed="false">
      <c r="A42" s="0" t="s">
        <v>147</v>
      </c>
      <c r="B42" s="0" t="s">
        <v>99</v>
      </c>
      <c r="C42" s="0" t="s">
        <v>148</v>
      </c>
      <c r="D42" s="0" t="n">
        <v>0.5853</v>
      </c>
      <c r="E42" s="0" t="n">
        <f aca="false">IF(D42&gt;=0.5,-100*D42/(1-D42),100*(1-D42)/D42)</f>
        <v>-141.138172172655</v>
      </c>
      <c r="F42" s="4" t="n">
        <v>-200</v>
      </c>
      <c r="G42" s="5" t="s">
        <v>101</v>
      </c>
      <c r="H42" s="5" t="n">
        <f aca="false">IF(F42="","",IF(F42&gt;0,100/(F42+100),-F42/(-F42+100)))</f>
        <v>0.666666666666667</v>
      </c>
      <c r="I42" s="5" t="n">
        <f aca="false">IF(F42="","",D42*IF(F42&gt;0,1+F42/100,1+100/-F42)-1)</f>
        <v>-0.12205</v>
      </c>
      <c r="J42" s="5" t="n">
        <f aca="false">IF(F42="","",MAX(0,MIN(0.02,0.25*((IF(F42&gt;0,F42/100,100/-F42))*D42-(1-D42))/IF(F42&gt;0,F42/100,100/-F42))))</f>
        <v>0</v>
      </c>
      <c r="K42" s="0" t="n">
        <v>-133</v>
      </c>
      <c r="L42" s="0" t="str">
        <f aca="false">IF(F42="","",IF(I42&gt;=0.025,"YES","no"))</f>
        <v>no</v>
      </c>
    </row>
    <row r="43" customFormat="false" ht="15" hidden="false" customHeight="false" outlineLevel="0" collapsed="false">
      <c r="A43" s="0" t="s">
        <v>147</v>
      </c>
      <c r="B43" s="0" t="s">
        <v>99</v>
      </c>
      <c r="C43" s="0" t="s">
        <v>149</v>
      </c>
      <c r="D43" s="0" t="n">
        <v>0.4147</v>
      </c>
      <c r="E43" s="0" t="n">
        <f aca="false">IF(D43&gt;=0.5,-100*D43/(1-D43),100*(1-D43)/D43)</f>
        <v>141.138172172655</v>
      </c>
      <c r="F43" s="4" t="n">
        <v>175</v>
      </c>
      <c r="G43" s="5" t="s">
        <v>101</v>
      </c>
      <c r="H43" s="5" t="n">
        <f aca="false">IF(F43="","",IF(F43&gt;0,100/(F43+100),-F43/(-F43+100)))</f>
        <v>0.363636363636364</v>
      </c>
      <c r="I43" s="5" t="n">
        <f aca="false">IF(F43="","",D43*IF(F43&gt;0,1+F43/100,1+100/-F43)-1)</f>
        <v>0.140425</v>
      </c>
      <c r="J43" s="5" t="n">
        <f aca="false">IF(F43="","",MAX(0,MIN(0.02,0.25*((IF(F43&gt;0,F43/100,100/-F43))*D43-(1-D43))/IF(F43&gt;0,F43/100,100/-F43))))</f>
        <v>0.02</v>
      </c>
      <c r="K43" s="0" t="n">
        <v>147</v>
      </c>
      <c r="L43" s="0" t="str">
        <f aca="false">IF(F43="","",IF(I43&gt;=0.025,"YES","no"))</f>
        <v>YES</v>
      </c>
    </row>
    <row r="44" customFormat="false" ht="15" hidden="false" customHeight="false" outlineLevel="0" collapsed="false">
      <c r="A44" s="0" t="s">
        <v>147</v>
      </c>
      <c r="B44" s="0" t="s">
        <v>103</v>
      </c>
      <c r="C44" s="0" t="s">
        <v>150</v>
      </c>
      <c r="D44" s="0" t="n">
        <v>0.389</v>
      </c>
      <c r="E44" s="0" t="n">
        <f aca="false">IF(D44&gt;=0.5,-100*D44/(1-D44),100*(1-D44)/D44)</f>
        <v>157.06940874036</v>
      </c>
      <c r="F44" s="4"/>
      <c r="G44" s="5" t="s">
        <v>105</v>
      </c>
      <c r="H44" s="0" t="str">
        <f aca="false">IF(F44="","",IF(F44&gt;0,100/(F44+100),-F44/(-F44+100)))</f>
        <v/>
      </c>
      <c r="I44" s="0" t="str">
        <f aca="false">IF(F44="","",D44*IF(F44&gt;0,1+F44/100,1+100/-F44)-1)</f>
        <v/>
      </c>
      <c r="J44" s="0" t="str">
        <f aca="false">IF(F44="","",MAX(0,MIN(0.02,0.25*((IF(F44&gt;0,F44/100,100/-F44))*D44-(1-D44))/IF(F44&gt;0,F44/100,100/-F44))))</f>
        <v/>
      </c>
      <c r="K44" s="0" t="n">
        <v>163</v>
      </c>
      <c r="L44" s="0" t="str">
        <f aca="false">IF(F44="","",IF(I44&gt;=0.025,"YES","no"))</f>
        <v/>
      </c>
    </row>
    <row r="45" customFormat="false" ht="15" hidden="false" customHeight="false" outlineLevel="0" collapsed="false">
      <c r="A45" s="0" t="s">
        <v>147</v>
      </c>
      <c r="B45" s="0" t="s">
        <v>103</v>
      </c>
      <c r="C45" s="0" t="s">
        <v>151</v>
      </c>
      <c r="D45" s="0" t="n">
        <v>0.611</v>
      </c>
      <c r="E45" s="0" t="n">
        <f aca="false">IF(D45&gt;=0.5,-100*D45/(1-D45),100*(1-D45)/D45)</f>
        <v>-157.06940874036</v>
      </c>
      <c r="F45" s="4"/>
      <c r="G45" s="5" t="s">
        <v>105</v>
      </c>
      <c r="H45" s="0" t="str">
        <f aca="false">IF(F45="","",IF(F45&gt;0,100/(F45+100),-F45/(-F45+100)))</f>
        <v/>
      </c>
      <c r="I45" s="0" t="str">
        <f aca="false">IF(F45="","",D45*IF(F45&gt;0,1+F45/100,1+100/-F45)-1)</f>
        <v/>
      </c>
      <c r="J45" s="0" t="str">
        <f aca="false">IF(F45="","",MAX(0,MIN(0.02,0.25*((IF(F45&gt;0,F45/100,100/-F45))*D45-(1-D45))/IF(F45&gt;0,F45/100,100/-F45))))</f>
        <v/>
      </c>
      <c r="K45" s="0" t="n">
        <v>-148</v>
      </c>
      <c r="L45" s="0" t="str">
        <f aca="false">IF(F45="","",IF(I45&gt;=0.025,"YES","no"))</f>
        <v/>
      </c>
    </row>
    <row r="46" customFormat="false" ht="15" hidden="false" customHeight="false" outlineLevel="0" collapsed="false">
      <c r="A46" s="0" t="s">
        <v>147</v>
      </c>
      <c r="B46" s="0" t="s">
        <v>103</v>
      </c>
      <c r="C46" s="0" t="s">
        <v>152</v>
      </c>
      <c r="D46" s="0" t="n">
        <v>0.2244</v>
      </c>
      <c r="E46" s="0" t="n">
        <f aca="false">IF(D46&gt;=0.5,-100*D46/(1-D46),100*(1-D46)/D46)</f>
        <v>345.632798573975</v>
      </c>
      <c r="F46" s="4"/>
      <c r="G46" s="5" t="s">
        <v>105</v>
      </c>
      <c r="H46" s="0" t="str">
        <f aca="false">IF(F46="","",IF(F46&gt;0,100/(F46+100),-F46/(-F46+100)))</f>
        <v/>
      </c>
      <c r="I46" s="0" t="str">
        <f aca="false">IF(F46="","",D46*IF(F46&gt;0,1+F46/100,1+100/-F46)-1)</f>
        <v/>
      </c>
      <c r="J46" s="0" t="str">
        <f aca="false">IF(F46="","",MAX(0,MIN(0.02,0.25*((IF(F46&gt;0,F46/100,100/-F46))*D46-(1-D46))/IF(F46&gt;0,F46/100,100/-F46))))</f>
        <v/>
      </c>
      <c r="K46" s="0" t="n">
        <v>357</v>
      </c>
      <c r="L46" s="0" t="str">
        <f aca="false">IF(F46="","",IF(I46&gt;=0.025,"YES","no"))</f>
        <v/>
      </c>
    </row>
    <row r="47" customFormat="false" ht="15" hidden="false" customHeight="false" outlineLevel="0" collapsed="false">
      <c r="A47" s="0" t="s">
        <v>147</v>
      </c>
      <c r="B47" s="0" t="s">
        <v>103</v>
      </c>
      <c r="C47" s="0" t="s">
        <v>153</v>
      </c>
      <c r="D47" s="0" t="n">
        <v>0.7756</v>
      </c>
      <c r="E47" s="0" t="n">
        <f aca="false">IF(D47&gt;=0.5,-100*D47/(1-D47),100*(1-D47)/D47)</f>
        <v>-345.632798573975</v>
      </c>
      <c r="F47" s="4"/>
      <c r="G47" s="5" t="s">
        <v>105</v>
      </c>
      <c r="H47" s="0" t="str">
        <f aca="false">IF(F47="","",IF(F47&gt;0,100/(F47+100),-F47/(-F47+100)))</f>
        <v/>
      </c>
      <c r="I47" s="0" t="str">
        <f aca="false">IF(F47="","",D47*IF(F47&gt;0,1+F47/100,1+100/-F47)-1)</f>
        <v/>
      </c>
      <c r="J47" s="0" t="str">
        <f aca="false">IF(F47="","",MAX(0,MIN(0.02,0.25*((IF(F47&gt;0,F47/100,100/-F47))*D47-(1-D47))/IF(F47&gt;0,F47/100,100/-F47))))</f>
        <v/>
      </c>
      <c r="K47" s="0" t="n">
        <v>-311</v>
      </c>
      <c r="L47" s="0" t="str">
        <f aca="false">IF(F47="","",IF(I47&gt;=0.025,"YES","no"))</f>
        <v/>
      </c>
    </row>
    <row r="48" customFormat="false" ht="15" hidden="false" customHeight="false" outlineLevel="0" collapsed="false">
      <c r="A48" s="0" t="s">
        <v>147</v>
      </c>
      <c r="B48" s="0" t="s">
        <v>109</v>
      </c>
      <c r="C48" s="0" t="s">
        <v>110</v>
      </c>
      <c r="D48" s="0" t="n">
        <v>0.3866</v>
      </c>
      <c r="E48" s="0" t="n">
        <f aca="false">IF(D48&gt;=0.5,-100*D48/(1-D48),100*(1-D48)/D48)</f>
        <v>158.665287118469</v>
      </c>
      <c r="F48" s="4"/>
      <c r="G48" s="5" t="s">
        <v>105</v>
      </c>
      <c r="H48" s="0" t="str">
        <f aca="false">IF(F48="","",IF(F48&gt;0,100/(F48+100),-F48/(-F48+100)))</f>
        <v/>
      </c>
      <c r="I48" s="0" t="str">
        <f aca="false">IF(F48="","",D48*IF(F48&gt;0,1+F48/100,1+100/-F48)-1)</f>
        <v/>
      </c>
      <c r="J48" s="0" t="str">
        <f aca="false">IF(F48="","",MAX(0,MIN(0.02,0.25*((IF(F48&gt;0,F48/100,100/-F48))*D48-(1-D48))/IF(F48&gt;0,F48/100,100/-F48))))</f>
        <v/>
      </c>
      <c r="K48" s="0" t="n">
        <v>165</v>
      </c>
      <c r="L48" s="0" t="str">
        <f aca="false">IF(F48="","",IF(I48&gt;=0.025,"YES","no"))</f>
        <v/>
      </c>
    </row>
    <row r="49" customFormat="false" ht="15" hidden="false" customHeight="false" outlineLevel="0" collapsed="false">
      <c r="A49" s="0" t="s">
        <v>147</v>
      </c>
      <c r="B49" s="0" t="s">
        <v>109</v>
      </c>
      <c r="C49" s="0" t="s">
        <v>112</v>
      </c>
      <c r="D49" s="0" t="n">
        <v>0.6134</v>
      </c>
      <c r="E49" s="0" t="n">
        <f aca="false">IF(D49&gt;=0.5,-100*D49/(1-D49),100*(1-D49)/D49)</f>
        <v>-158.665287118469</v>
      </c>
      <c r="F49" s="4"/>
      <c r="G49" s="5" t="s">
        <v>105</v>
      </c>
      <c r="H49" s="0" t="str">
        <f aca="false">IF(F49="","",IF(F49&gt;0,100/(F49+100),-F49/(-F49+100)))</f>
        <v/>
      </c>
      <c r="I49" s="0" t="str">
        <f aca="false">IF(F49="","",D49*IF(F49&gt;0,1+F49/100,1+100/-F49)-1)</f>
        <v/>
      </c>
      <c r="J49" s="0" t="str">
        <f aca="false">IF(F49="","",MAX(0,MIN(0.02,0.25*((IF(F49&gt;0,F49/100,100/-F49))*D49-(1-D49))/IF(F49&gt;0,F49/100,100/-F49))))</f>
        <v/>
      </c>
      <c r="K49" s="0" t="n">
        <v>-149</v>
      </c>
      <c r="L49" s="0" t="str">
        <f aca="false">IF(F49="","",IF(I49&gt;=0.025,"YES","no"))</f>
        <v/>
      </c>
    </row>
    <row r="50" customFormat="false" ht="15" hidden="false" customHeight="false" outlineLevel="0" collapsed="false">
      <c r="A50" s="0" t="s">
        <v>147</v>
      </c>
      <c r="B50" s="0" t="s">
        <v>113</v>
      </c>
      <c r="C50" s="0" t="s">
        <v>114</v>
      </c>
      <c r="D50" s="0" t="n">
        <v>0.6654</v>
      </c>
      <c r="E50" s="0" t="n">
        <f aca="false">IF(D50&gt;=0.5,-100*D50/(1-D50),100*(1-D50)/D50)</f>
        <v>-198.864315600717</v>
      </c>
      <c r="F50" s="4"/>
      <c r="G50" s="5" t="s">
        <v>105</v>
      </c>
      <c r="H50" s="0" t="str">
        <f aca="false">IF(F50="","",IF(F50&gt;0,100/(F50+100),-F50/(-F50+100)))</f>
        <v/>
      </c>
      <c r="I50" s="0" t="str">
        <f aca="false">IF(F50="","",D50*IF(F50&gt;0,1+F50/100,1+100/-F50)-1)</f>
        <v/>
      </c>
      <c r="J50" s="0" t="str">
        <f aca="false">IF(F50="","",MAX(0,MIN(0.02,0.25*((IF(F50&gt;0,F50/100,100/-F50))*D50-(1-D50))/IF(F50&gt;0,F50/100,100/-F50))))</f>
        <v/>
      </c>
      <c r="K50" s="0" t="n">
        <v>-185</v>
      </c>
      <c r="L50" s="0" t="str">
        <f aca="false">IF(F50="","",IF(I50&gt;=0.025,"YES","no"))</f>
        <v/>
      </c>
    </row>
    <row r="51" customFormat="false" ht="15" hidden="false" customHeight="false" outlineLevel="0" collapsed="false">
      <c r="A51" s="0" t="s">
        <v>147</v>
      </c>
      <c r="B51" s="0" t="s">
        <v>113</v>
      </c>
      <c r="C51" s="0" t="s">
        <v>115</v>
      </c>
      <c r="D51" s="0" t="n">
        <v>0.3346</v>
      </c>
      <c r="E51" s="0" t="n">
        <f aca="false">IF(D51&gt;=0.5,-100*D51/(1-D51),100*(1-D51)/D51)</f>
        <v>198.864315600717</v>
      </c>
      <c r="F51" s="4"/>
      <c r="G51" s="5" t="s">
        <v>105</v>
      </c>
      <c r="H51" s="0" t="str">
        <f aca="false">IF(F51="","",IF(F51&gt;0,100/(F51+100),-F51/(-F51+100)))</f>
        <v/>
      </c>
      <c r="I51" s="0" t="str">
        <f aca="false">IF(F51="","",D51*IF(F51&gt;0,1+F51/100,1+100/-F51)-1)</f>
        <v/>
      </c>
      <c r="J51" s="0" t="str">
        <f aca="false">IF(F51="","",MAX(0,MIN(0.02,0.25*((IF(F51&gt;0,F51/100,100/-F51))*D51-(1-D51))/IF(F51&gt;0,F51/100,100/-F51))))</f>
        <v/>
      </c>
      <c r="K51" s="0" t="n">
        <v>206</v>
      </c>
      <c r="L51" s="0" t="str">
        <f aca="false">IF(F51="","",IF(I51&gt;=0.025,"YES","no"))</f>
        <v/>
      </c>
    </row>
    <row r="52" customFormat="false" ht="15" hidden="false" customHeight="false" outlineLevel="0" collapsed="false">
      <c r="A52" s="0" t="s">
        <v>147</v>
      </c>
      <c r="B52" s="0" t="s">
        <v>113</v>
      </c>
      <c r="C52" s="0" t="s">
        <v>116</v>
      </c>
      <c r="D52" s="0" t="n">
        <v>0.6148</v>
      </c>
      <c r="E52" s="0" t="n">
        <f aca="false">IF(D52&gt;=0.5,-100*D52/(1-D52),100*(1-D52)/D52)</f>
        <v>-159.605399792316</v>
      </c>
      <c r="F52" s="4"/>
      <c r="G52" s="5" t="s">
        <v>105</v>
      </c>
      <c r="H52" s="0" t="str">
        <f aca="false">IF(F52="","",IF(F52&gt;0,100/(F52+100),-F52/(-F52+100)))</f>
        <v/>
      </c>
      <c r="I52" s="0" t="str">
        <f aca="false">IF(F52="","",D52*IF(F52&gt;0,1+F52/100,1+100/-F52)-1)</f>
        <v/>
      </c>
      <c r="J52" s="0" t="str">
        <f aca="false">IF(F52="","",MAX(0,MIN(0.02,0.25*((IF(F52&gt;0,F52/100,100/-F52))*D52-(1-D52))/IF(F52&gt;0,F52/100,100/-F52))))</f>
        <v/>
      </c>
      <c r="K52" s="0" t="n">
        <v>-150</v>
      </c>
      <c r="L52" s="0" t="str">
        <f aca="false">IF(F52="","",IF(I52&gt;=0.025,"YES","no"))</f>
        <v/>
      </c>
    </row>
    <row r="53" customFormat="false" ht="15" hidden="false" customHeight="false" outlineLevel="0" collapsed="false">
      <c r="A53" s="0" t="s">
        <v>147</v>
      </c>
      <c r="B53" s="0" t="s">
        <v>113</v>
      </c>
      <c r="C53" s="0" t="s">
        <v>117</v>
      </c>
      <c r="D53" s="0" t="n">
        <v>0.3852</v>
      </c>
      <c r="E53" s="0" t="n">
        <f aca="false">IF(D53&gt;=0.5,-100*D53/(1-D53),100*(1-D53)/D53)</f>
        <v>159.605399792316</v>
      </c>
      <c r="F53" s="4"/>
      <c r="G53" s="5" t="s">
        <v>105</v>
      </c>
      <c r="H53" s="0" t="str">
        <f aca="false">IF(F53="","",IF(F53&gt;0,100/(F53+100),-F53/(-F53+100)))</f>
        <v/>
      </c>
      <c r="I53" s="0" t="str">
        <f aca="false">IF(F53="","",D53*IF(F53&gt;0,1+F53/100,1+100/-F53)-1)</f>
        <v/>
      </c>
      <c r="J53" s="0" t="str">
        <f aca="false">IF(F53="","",MAX(0,MIN(0.02,0.25*((IF(F53&gt;0,F53/100,100/-F53))*D53-(1-D53))/IF(F53&gt;0,F53/100,100/-F53))))</f>
        <v/>
      </c>
      <c r="K53" s="0" t="n">
        <v>166</v>
      </c>
      <c r="L53" s="0" t="str">
        <f aca="false">IF(F53="","",IF(I53&gt;=0.025,"YES","no"))</f>
        <v/>
      </c>
    </row>
    <row r="54" customFormat="false" ht="15" hidden="false" customHeight="false" outlineLevel="0" collapsed="false">
      <c r="A54" s="0" t="s">
        <v>147</v>
      </c>
      <c r="B54" s="0" t="s">
        <v>113</v>
      </c>
      <c r="C54" s="0" t="s">
        <v>118</v>
      </c>
      <c r="D54" s="0" t="n">
        <v>0.5256</v>
      </c>
      <c r="E54" s="0" t="n">
        <f aca="false">IF(D54&gt;=0.5,-100*D54/(1-D54),100*(1-D54)/D54)</f>
        <v>-110.79258010118</v>
      </c>
      <c r="F54" s="4"/>
      <c r="G54" s="5" t="s">
        <v>105</v>
      </c>
      <c r="H54" s="0" t="str">
        <f aca="false">IF(F54="","",IF(F54&gt;0,100/(F54+100),-F54/(-F54+100)))</f>
        <v/>
      </c>
      <c r="I54" s="0" t="str">
        <f aca="false">IF(F54="","",D54*IF(F54&gt;0,1+F54/100,1+100/-F54)-1)</f>
        <v/>
      </c>
      <c r="J54" s="0" t="str">
        <f aca="false">IF(F54="","",MAX(0,MIN(0.02,0.25*((IF(F54&gt;0,F54/100,100/-F54))*D54-(1-D54))/IF(F54&gt;0,F54/100,100/-F54))))</f>
        <v/>
      </c>
      <c r="K54" s="0" t="n">
        <v>-105</v>
      </c>
      <c r="L54" s="0" t="str">
        <f aca="false">IF(F54="","",IF(I54&gt;=0.025,"YES","no"))</f>
        <v/>
      </c>
    </row>
    <row r="55" customFormat="false" ht="15" hidden="false" customHeight="false" outlineLevel="0" collapsed="false">
      <c r="A55" s="0" t="s">
        <v>147</v>
      </c>
      <c r="B55" s="0" t="s">
        <v>113</v>
      </c>
      <c r="C55" s="0" t="s">
        <v>120</v>
      </c>
      <c r="D55" s="0" t="n">
        <v>0.4743</v>
      </c>
      <c r="E55" s="0" t="n">
        <f aca="false">IF(D55&gt;=0.5,-100*D55/(1-D55),100*(1-D55)/D55)</f>
        <v>110.837022981236</v>
      </c>
      <c r="F55" s="4"/>
      <c r="G55" s="5" t="s">
        <v>105</v>
      </c>
      <c r="H55" s="0" t="str">
        <f aca="false">IF(F55="","",IF(F55&gt;0,100/(F55+100),-F55/(-F55+100)))</f>
        <v/>
      </c>
      <c r="I55" s="0" t="str">
        <f aca="false">IF(F55="","",D55*IF(F55&gt;0,1+F55/100,1+100/-F55)-1)</f>
        <v/>
      </c>
      <c r="J55" s="0" t="str">
        <f aca="false">IF(F55="","",MAX(0,MIN(0.02,0.25*((IF(F55&gt;0,F55/100,100/-F55))*D55-(1-D55))/IF(F55&gt;0,F55/100,100/-F55))))</f>
        <v/>
      </c>
      <c r="K55" s="0" t="n">
        <v>116</v>
      </c>
      <c r="L55" s="0" t="str">
        <f aca="false">IF(F55="","",IF(I55&gt;=0.025,"YES","no"))</f>
        <v/>
      </c>
    </row>
    <row r="56" customFormat="false" ht="15" hidden="false" customHeight="false" outlineLevel="0" collapsed="false">
      <c r="A56" s="0" t="s">
        <v>147</v>
      </c>
      <c r="B56" s="0" t="s">
        <v>113</v>
      </c>
      <c r="C56" s="0" t="s">
        <v>121</v>
      </c>
      <c r="D56" s="0" t="n">
        <v>0.4525</v>
      </c>
      <c r="E56" s="0" t="n">
        <f aca="false">IF(D56&gt;=0.5,-100*D56/(1-D56),100*(1-D56)/D56)</f>
        <v>120.994475138122</v>
      </c>
      <c r="F56" s="4" t="n">
        <v>-105</v>
      </c>
      <c r="G56" s="5" t="s">
        <v>154</v>
      </c>
      <c r="H56" s="5" t="n">
        <f aca="false">IF(F56="","",IF(F56&gt;0,100/(F56+100),-F56/(-F56+100)))</f>
        <v>0.51219512195122</v>
      </c>
      <c r="I56" s="5" t="n">
        <f aca="false">IF(F56="","",D56*IF(F56&gt;0,1+F56/100,1+100/-F56)-1)</f>
        <v>-0.116547619047619</v>
      </c>
      <c r="J56" s="5" t="n">
        <f aca="false">IF(F56="","",MAX(0,MIN(0.02,0.25*((IF(F56&gt;0,F56/100,100/-F56))*D56-(1-D56))/IF(F56&gt;0,F56/100,100/-F56))))</f>
        <v>0</v>
      </c>
      <c r="K56" s="0" t="n">
        <v>127</v>
      </c>
      <c r="L56" s="0" t="str">
        <f aca="false">IF(F56="","",IF(I56&gt;=0.025,"YES","no"))</f>
        <v>no</v>
      </c>
    </row>
    <row r="57" customFormat="false" ht="15" hidden="false" customHeight="false" outlineLevel="0" collapsed="false">
      <c r="A57" s="0" t="s">
        <v>147</v>
      </c>
      <c r="B57" s="0" t="s">
        <v>113</v>
      </c>
      <c r="C57" s="0" t="s">
        <v>122</v>
      </c>
      <c r="D57" s="0" t="n">
        <v>0.5475</v>
      </c>
      <c r="E57" s="0" t="n">
        <f aca="false">IF(D57&gt;=0.5,-100*D57/(1-D57),100*(1-D57)/D57)</f>
        <v>-120.994475138122</v>
      </c>
      <c r="F57" s="4" t="n">
        <v>-140</v>
      </c>
      <c r="G57" s="5" t="s">
        <v>154</v>
      </c>
      <c r="H57" s="5" t="n">
        <f aca="false">IF(F57="","",IF(F57&gt;0,100/(F57+100),-F57/(-F57+100)))</f>
        <v>0.583333333333333</v>
      </c>
      <c r="I57" s="5" t="n">
        <f aca="false">IF(F57="","",D57*IF(F57&gt;0,1+F57/100,1+100/-F57)-1)</f>
        <v>-0.0614285714285714</v>
      </c>
      <c r="J57" s="5" t="n">
        <f aca="false">IF(F57="","",MAX(0,MIN(0.02,0.25*((IF(F57&gt;0,F57/100,100/-F57))*D57-(1-D57))/IF(F57&gt;0,F57/100,100/-F57))))</f>
        <v>0</v>
      </c>
      <c r="K57" s="0" t="n">
        <v>-115</v>
      </c>
      <c r="L57" s="0" t="str">
        <f aca="false">IF(F57="","",IF(I57&gt;=0.025,"YES","no"))</f>
        <v>no</v>
      </c>
    </row>
    <row r="58" customFormat="false" ht="15" hidden="false" customHeight="false" outlineLevel="0" collapsed="false">
      <c r="A58" s="0" t="s">
        <v>147</v>
      </c>
      <c r="B58" s="0" t="s">
        <v>113</v>
      </c>
      <c r="C58" s="0" t="s">
        <v>123</v>
      </c>
      <c r="D58" s="0" t="n">
        <v>0.4431</v>
      </c>
      <c r="E58" s="0" t="n">
        <f aca="false">IF(D58&gt;=0.5,-100*D58/(1-D58),100*(1-D58)/D58)</f>
        <v>125.682690137666</v>
      </c>
      <c r="F58" s="4"/>
      <c r="G58" s="5" t="s">
        <v>105</v>
      </c>
      <c r="H58" s="0" t="str">
        <f aca="false">IF(F58="","",IF(F58&gt;0,100/(F58+100),-F58/(-F58+100)))</f>
        <v/>
      </c>
      <c r="I58" s="0" t="str">
        <f aca="false">IF(F58="","",D58*IF(F58&gt;0,1+F58/100,1+100/-F58)-1)</f>
        <v/>
      </c>
      <c r="J58" s="0" t="str">
        <f aca="false">IF(F58="","",MAX(0,MIN(0.02,0.25*((IF(F58&gt;0,F58/100,100/-F58))*D58-(1-D58))/IF(F58&gt;0,F58/100,100/-F58))))</f>
        <v/>
      </c>
      <c r="K58" s="0" t="n">
        <v>131</v>
      </c>
      <c r="L58" s="0" t="str">
        <f aca="false">IF(F58="","",IF(I58&gt;=0.025,"YES","no"))</f>
        <v/>
      </c>
    </row>
    <row r="59" customFormat="false" ht="15" hidden="false" customHeight="false" outlineLevel="0" collapsed="false">
      <c r="A59" s="0" t="s">
        <v>147</v>
      </c>
      <c r="B59" s="0" t="s">
        <v>113</v>
      </c>
      <c r="C59" s="0" t="s">
        <v>124</v>
      </c>
      <c r="D59" s="0" t="n">
        <v>0.5568</v>
      </c>
      <c r="E59" s="0" t="n">
        <f aca="false">IF(D59&gt;=0.5,-100*D59/(1-D59),100*(1-D59)/D59)</f>
        <v>-125.631768953069</v>
      </c>
      <c r="F59" s="4"/>
      <c r="G59" s="5" t="s">
        <v>105</v>
      </c>
      <c r="H59" s="0" t="str">
        <f aca="false">IF(F59="","",IF(F59&gt;0,100/(F59+100),-F59/(-F59+100)))</f>
        <v/>
      </c>
      <c r="I59" s="0" t="str">
        <f aca="false">IF(F59="","",D59*IF(F59&gt;0,1+F59/100,1+100/-F59)-1)</f>
        <v/>
      </c>
      <c r="J59" s="0" t="str">
        <f aca="false">IF(F59="","",MAX(0,MIN(0.02,0.25*((IF(F59&gt;0,F59/100,100/-F59))*D59-(1-D59))/IF(F59&gt;0,F59/100,100/-F59))))</f>
        <v/>
      </c>
      <c r="K59" s="0" t="n">
        <v>-119</v>
      </c>
      <c r="L59" s="0" t="str">
        <f aca="false">IF(F59="","",IF(I59&gt;=0.025,"YES","no"))</f>
        <v/>
      </c>
    </row>
    <row r="60" customFormat="false" ht="15" hidden="false" customHeight="false" outlineLevel="0" collapsed="false">
      <c r="A60" s="0" t="s">
        <v>147</v>
      </c>
      <c r="B60" s="0" t="s">
        <v>125</v>
      </c>
      <c r="C60" s="0" t="s">
        <v>155</v>
      </c>
      <c r="D60" s="0" t="n">
        <v>0.5319</v>
      </c>
      <c r="E60" s="0" t="n">
        <f aca="false">IF(D60&gt;=0.5,-100*D60/(1-D60),100*(1-D60)/D60)</f>
        <v>-113.62956633198</v>
      </c>
      <c r="F60" s="4"/>
      <c r="G60" s="5" t="s">
        <v>105</v>
      </c>
      <c r="H60" s="0" t="str">
        <f aca="false">IF(F60="","",IF(F60&gt;0,100/(F60+100),-F60/(-F60+100)))</f>
        <v/>
      </c>
      <c r="I60" s="0" t="str">
        <f aca="false">IF(F60="","",D60*IF(F60&gt;0,1+F60/100,1+100/-F60)-1)</f>
        <v/>
      </c>
      <c r="J60" s="0" t="str">
        <f aca="false">IF(F60="","",MAX(0,MIN(0.02,0.25*((IF(F60&gt;0,F60/100,100/-F60))*D60-(1-D60))/IF(F60&gt;0,F60/100,100/-F60))))</f>
        <v/>
      </c>
      <c r="K60" s="0" t="n">
        <v>-108</v>
      </c>
      <c r="L60" s="0" t="str">
        <f aca="false">IF(F60="","",IF(I60&gt;=0.025,"YES","no"))</f>
        <v/>
      </c>
    </row>
    <row r="61" customFormat="false" ht="15" hidden="false" customHeight="false" outlineLevel="0" collapsed="false">
      <c r="A61" s="0" t="s">
        <v>147</v>
      </c>
      <c r="B61" s="0" t="s">
        <v>125</v>
      </c>
      <c r="C61" s="0" t="s">
        <v>156</v>
      </c>
      <c r="D61" s="0" t="n">
        <v>0.4681</v>
      </c>
      <c r="E61" s="0" t="n">
        <f aca="false">IF(D61&gt;=0.5,-100*D61/(1-D61),100*(1-D61)/D61)</f>
        <v>113.62956633198</v>
      </c>
      <c r="F61" s="4"/>
      <c r="G61" s="5" t="s">
        <v>105</v>
      </c>
      <c r="H61" s="0" t="str">
        <f aca="false">IF(F61="","",IF(F61&gt;0,100/(F61+100),-F61/(-F61+100)))</f>
        <v/>
      </c>
      <c r="I61" s="0" t="str">
        <f aca="false">IF(F61="","",D61*IF(F61&gt;0,1+F61/100,1+100/-F61)-1)</f>
        <v/>
      </c>
      <c r="J61" s="0" t="str">
        <f aca="false">IF(F61="","",MAX(0,MIN(0.02,0.25*((IF(F61&gt;0,F61/100,100/-F61))*D61-(1-D61))/IF(F61&gt;0,F61/100,100/-F61))))</f>
        <v/>
      </c>
      <c r="K61" s="0" t="n">
        <v>119</v>
      </c>
      <c r="L61" s="0" t="str">
        <f aca="false">IF(F61="","",IF(I61&gt;=0.025,"YES","no"))</f>
        <v/>
      </c>
    </row>
    <row r="62" customFormat="false" ht="15" hidden="false" customHeight="false" outlineLevel="0" collapsed="false">
      <c r="A62" s="0" t="s">
        <v>147</v>
      </c>
      <c r="B62" s="0" t="s">
        <v>125</v>
      </c>
      <c r="C62" s="0" t="s">
        <v>157</v>
      </c>
      <c r="D62" s="0" t="n">
        <v>0.3549</v>
      </c>
      <c r="E62" s="0" t="n">
        <f aca="false">IF(D62&gt;=0.5,-100*D62/(1-D62),100*(1-D62)/D62)</f>
        <v>181.769512538743</v>
      </c>
      <c r="F62" s="4"/>
      <c r="G62" s="5" t="s">
        <v>105</v>
      </c>
      <c r="H62" s="0" t="str">
        <f aca="false">IF(F62="","",IF(F62&gt;0,100/(F62+100),-F62/(-F62+100)))</f>
        <v/>
      </c>
      <c r="I62" s="0" t="str">
        <f aca="false">IF(F62="","",D62*IF(F62&gt;0,1+F62/100,1+100/-F62)-1)</f>
        <v/>
      </c>
      <c r="J62" s="0" t="str">
        <f aca="false">IF(F62="","",MAX(0,MIN(0.02,0.25*((IF(F62&gt;0,F62/100,100/-F62))*D62-(1-D62))/IF(F62&gt;0,F62/100,100/-F62))))</f>
        <v/>
      </c>
      <c r="K62" s="0" t="n">
        <v>189</v>
      </c>
      <c r="L62" s="0" t="str">
        <f aca="false">IF(F62="","",IF(I62&gt;=0.025,"YES","no"))</f>
        <v/>
      </c>
    </row>
    <row r="63" customFormat="false" ht="15" hidden="false" customHeight="false" outlineLevel="0" collapsed="false">
      <c r="A63" s="0" t="s">
        <v>147</v>
      </c>
      <c r="B63" s="0" t="s">
        <v>125</v>
      </c>
      <c r="C63" s="0" t="s">
        <v>158</v>
      </c>
      <c r="D63" s="0" t="n">
        <v>0.6451</v>
      </c>
      <c r="E63" s="0" t="n">
        <f aca="false">IF(D63&gt;=0.5,-100*D63/(1-D63),100*(1-D63)/D63)</f>
        <v>-181.769512538743</v>
      </c>
      <c r="F63" s="4"/>
      <c r="G63" s="5" t="s">
        <v>105</v>
      </c>
      <c r="H63" s="0" t="str">
        <f aca="false">IF(F63="","",IF(F63&gt;0,100/(F63+100),-F63/(-F63+100)))</f>
        <v/>
      </c>
      <c r="I63" s="0" t="str">
        <f aca="false">IF(F63="","",D63*IF(F63&gt;0,1+F63/100,1+100/-F63)-1)</f>
        <v/>
      </c>
      <c r="J63" s="0" t="str">
        <f aca="false">IF(F63="","",MAX(0,MIN(0.02,0.25*((IF(F63&gt;0,F63/100,100/-F63))*D63-(1-D63))/IF(F63&gt;0,F63/100,100/-F63))))</f>
        <v/>
      </c>
      <c r="K63" s="0" t="n">
        <v>-170</v>
      </c>
      <c r="L63" s="0" t="str">
        <f aca="false">IF(F63="","",IF(I63&gt;=0.025,"YES","no"))</f>
        <v/>
      </c>
    </row>
    <row r="64" customFormat="false" ht="15" hidden="false" customHeight="false" outlineLevel="0" collapsed="false">
      <c r="A64" s="0" t="s">
        <v>147</v>
      </c>
      <c r="B64" s="0" t="s">
        <v>125</v>
      </c>
      <c r="C64" s="0" t="s">
        <v>159</v>
      </c>
      <c r="D64" s="0" t="n">
        <v>0.4646</v>
      </c>
      <c r="E64" s="0" t="n">
        <f aca="false">IF(D64&gt;=0.5,-100*D64/(1-D64),100*(1-D64)/D64)</f>
        <v>115.238915195867</v>
      </c>
      <c r="F64" s="4" t="n">
        <v>-120</v>
      </c>
      <c r="G64" s="5" t="s">
        <v>160</v>
      </c>
      <c r="H64" s="5" t="n">
        <f aca="false">IF(F64="","",IF(F64&gt;0,100/(F64+100),-F64/(-F64+100)))</f>
        <v>0.545454545454545</v>
      </c>
      <c r="I64" s="5" t="n">
        <f aca="false">IF(F64="","",D64*IF(F64&gt;0,1+F64/100,1+100/-F64)-1)</f>
        <v>-0.148233333333333</v>
      </c>
      <c r="J64" s="5" t="n">
        <f aca="false">IF(F64="","",MAX(0,MIN(0.02,0.25*((IF(F64&gt;0,F64/100,100/-F64))*D64-(1-D64))/IF(F64&gt;0,F64/100,100/-F64))))</f>
        <v>0</v>
      </c>
      <c r="K64" s="0" t="n">
        <v>121</v>
      </c>
      <c r="L64" s="0" t="str">
        <f aca="false">IF(F64="","",IF(I64&gt;=0.025,"YES","no"))</f>
        <v>no</v>
      </c>
    </row>
    <row r="65" customFormat="false" ht="15" hidden="false" customHeight="false" outlineLevel="0" collapsed="false">
      <c r="A65" s="0" t="s">
        <v>147</v>
      </c>
      <c r="B65" s="0" t="s">
        <v>125</v>
      </c>
      <c r="C65" s="0" t="s">
        <v>161</v>
      </c>
      <c r="D65" s="0" t="n">
        <v>0.5354</v>
      </c>
      <c r="E65" s="0" t="n">
        <f aca="false">IF(D65&gt;=0.5,-100*D65/(1-D65),100*(1-D65)/D65)</f>
        <v>-115.238915195867</v>
      </c>
      <c r="F65" s="4"/>
      <c r="G65" s="5" t="s">
        <v>105</v>
      </c>
      <c r="H65" s="0" t="str">
        <f aca="false">IF(F65="","",IF(F65&gt;0,100/(F65+100),-F65/(-F65+100)))</f>
        <v/>
      </c>
      <c r="I65" s="0" t="str">
        <f aca="false">IF(F65="","",D65*IF(F65&gt;0,1+F65/100,1+100/-F65)-1)</f>
        <v/>
      </c>
      <c r="J65" s="0" t="str">
        <f aca="false">IF(F65="","",MAX(0,MIN(0.02,0.25*((IF(F65&gt;0,F65/100,100/-F65))*D65-(1-D65))/IF(F65&gt;0,F65/100,100/-F65))))</f>
        <v/>
      </c>
      <c r="K65" s="0" t="n">
        <v>-109</v>
      </c>
      <c r="L65" s="0" t="str">
        <f aca="false">IF(F65="","",IF(I65&gt;=0.025,"YES","no"))</f>
        <v/>
      </c>
    </row>
    <row r="66" customFormat="false" ht="15" hidden="false" customHeight="false" outlineLevel="0" collapsed="false">
      <c r="A66" s="0" t="s">
        <v>147</v>
      </c>
      <c r="B66" s="0" t="s">
        <v>125</v>
      </c>
      <c r="C66" s="0" t="s">
        <v>162</v>
      </c>
      <c r="D66" s="0" t="n">
        <v>0.2953</v>
      </c>
      <c r="E66" s="0" t="n">
        <f aca="false">IF(D66&gt;=0.5,-100*D66/(1-D66),100*(1-D66)/D66)</f>
        <v>238.638672536404</v>
      </c>
      <c r="F66" s="4"/>
      <c r="G66" s="5" t="s">
        <v>105</v>
      </c>
      <c r="H66" s="0" t="str">
        <f aca="false">IF(F66="","",IF(F66&gt;0,100/(F66+100),-F66/(-F66+100)))</f>
        <v/>
      </c>
      <c r="I66" s="0" t="str">
        <f aca="false">IF(F66="","",D66*IF(F66&gt;0,1+F66/100,1+100/-F66)-1)</f>
        <v/>
      </c>
      <c r="J66" s="0" t="str">
        <f aca="false">IF(F66="","",MAX(0,MIN(0.02,0.25*((IF(F66&gt;0,F66/100,100/-F66))*D66-(1-D66))/IF(F66&gt;0,F66/100,100/-F66))))</f>
        <v/>
      </c>
      <c r="K66" s="0" t="n">
        <v>247</v>
      </c>
      <c r="L66" s="0" t="str">
        <f aca="false">IF(F66="","",IF(I66&gt;=0.025,"YES","no"))</f>
        <v/>
      </c>
    </row>
    <row r="67" customFormat="false" ht="15" hidden="false" customHeight="false" outlineLevel="0" collapsed="false">
      <c r="A67" s="0" t="s">
        <v>147</v>
      </c>
      <c r="B67" s="0" t="s">
        <v>125</v>
      </c>
      <c r="C67" s="0" t="s">
        <v>163</v>
      </c>
      <c r="D67" s="0" t="n">
        <v>0.7047</v>
      </c>
      <c r="E67" s="0" t="n">
        <f aca="false">IF(D67&gt;=0.5,-100*D67/(1-D67),100*(1-D67)/D67)</f>
        <v>-238.638672536404</v>
      </c>
      <c r="F67" s="4"/>
      <c r="G67" s="5" t="s">
        <v>105</v>
      </c>
      <c r="H67" s="0" t="str">
        <f aca="false">IF(F67="","",IF(F67&gt;0,100/(F67+100),-F67/(-F67+100)))</f>
        <v/>
      </c>
      <c r="I67" s="0" t="str">
        <f aca="false">IF(F67="","",D67*IF(F67&gt;0,1+F67/100,1+100/-F67)-1)</f>
        <v/>
      </c>
      <c r="J67" s="0" t="str">
        <f aca="false">IF(F67="","",MAX(0,MIN(0.02,0.25*((IF(F67&gt;0,F67/100,100/-F67))*D67-(1-D67))/IF(F67&gt;0,F67/100,100/-F67))))</f>
        <v/>
      </c>
      <c r="K67" s="0" t="n">
        <v>-220</v>
      </c>
      <c r="L67" s="0" t="str">
        <f aca="false">IF(F67="","",IF(I67&gt;=0.025,"YES","no"))</f>
        <v/>
      </c>
    </row>
    <row r="68" customFormat="false" ht="15" hidden="false" customHeight="false" outlineLevel="0" collapsed="false">
      <c r="A68" s="0" t="s">
        <v>147</v>
      </c>
      <c r="B68" s="0" t="s">
        <v>125</v>
      </c>
      <c r="C68" s="0" t="s">
        <v>164</v>
      </c>
      <c r="D68" s="0" t="n">
        <v>0.3706</v>
      </c>
      <c r="E68" s="0" t="n">
        <f aca="false">IF(D68&gt;=0.5,-100*D68/(1-D68),100*(1-D68)/D68)</f>
        <v>169.832703723691</v>
      </c>
      <c r="F68" s="4"/>
      <c r="G68" s="5" t="s">
        <v>105</v>
      </c>
      <c r="H68" s="0" t="str">
        <f aca="false">IF(F68="","",IF(F68&gt;0,100/(F68+100),-F68/(-F68+100)))</f>
        <v/>
      </c>
      <c r="I68" s="0" t="str">
        <f aca="false">IF(F68="","",D68*IF(F68&gt;0,1+F68/100,1+100/-F68)-1)</f>
        <v/>
      </c>
      <c r="J68" s="0" t="str">
        <f aca="false">IF(F68="","",MAX(0,MIN(0.02,0.25*((IF(F68&gt;0,F68/100,100/-F68))*D68-(1-D68))/IF(F68&gt;0,F68/100,100/-F68))))</f>
        <v/>
      </c>
      <c r="K68" s="0" t="n">
        <v>177</v>
      </c>
      <c r="L68" s="0" t="str">
        <f aca="false">IF(F68="","",IF(I68&gt;=0.025,"YES","no"))</f>
        <v/>
      </c>
    </row>
    <row r="69" customFormat="false" ht="15" hidden="false" customHeight="false" outlineLevel="0" collapsed="false">
      <c r="A69" s="0" t="s">
        <v>147</v>
      </c>
      <c r="B69" s="0" t="s">
        <v>125</v>
      </c>
      <c r="C69" s="0" t="s">
        <v>165</v>
      </c>
      <c r="D69" s="0" t="n">
        <v>0.6294</v>
      </c>
      <c r="E69" s="0" t="n">
        <f aca="false">IF(D69&gt;=0.5,-100*D69/(1-D69),100*(1-D69)/D69)</f>
        <v>-169.832703723691</v>
      </c>
      <c r="F69" s="4"/>
      <c r="G69" s="5" t="s">
        <v>105</v>
      </c>
      <c r="H69" s="0" t="str">
        <f aca="false">IF(F69="","",IF(F69&gt;0,100/(F69+100),-F69/(-F69+100)))</f>
        <v/>
      </c>
      <c r="I69" s="0" t="str">
        <f aca="false">IF(F69="","",D69*IF(F69&gt;0,1+F69/100,1+100/-F69)-1)</f>
        <v/>
      </c>
      <c r="J69" s="0" t="str">
        <f aca="false">IF(F69="","",MAX(0,MIN(0.02,0.25*((IF(F69&gt;0,F69/100,100/-F69))*D69-(1-D69))/IF(F69&gt;0,F69/100,100/-F69))))</f>
        <v/>
      </c>
      <c r="K69" s="0" t="n">
        <v>-159</v>
      </c>
      <c r="L69" s="0" t="str">
        <f aca="false">IF(F69="","",IF(I69&gt;=0.025,"YES","no"))</f>
        <v/>
      </c>
    </row>
    <row r="70" customFormat="false" ht="15" hidden="false" customHeight="false" outlineLevel="0" collapsed="false">
      <c r="A70" s="0" t="s">
        <v>147</v>
      </c>
      <c r="B70" s="0" t="s">
        <v>125</v>
      </c>
      <c r="C70" s="0" t="s">
        <v>166</v>
      </c>
      <c r="D70" s="0" t="n">
        <v>0.2186</v>
      </c>
      <c r="E70" s="0" t="n">
        <f aca="false">IF(D70&gt;=0.5,-100*D70/(1-D70),100*(1-D70)/D70)</f>
        <v>357.456541628545</v>
      </c>
      <c r="F70" s="4"/>
      <c r="G70" s="5" t="s">
        <v>105</v>
      </c>
      <c r="H70" s="0" t="str">
        <f aca="false">IF(F70="","",IF(F70&gt;0,100/(F70+100),-F70/(-F70+100)))</f>
        <v/>
      </c>
      <c r="I70" s="0" t="str">
        <f aca="false">IF(F70="","",D70*IF(F70&gt;0,1+F70/100,1+100/-F70)-1)</f>
        <v/>
      </c>
      <c r="J70" s="0" t="str">
        <f aca="false">IF(F70="","",MAX(0,MIN(0.02,0.25*((IF(F70&gt;0,F70/100,100/-F70))*D70-(1-D70))/IF(F70&gt;0,F70/100,100/-F70))))</f>
        <v/>
      </c>
      <c r="K70" s="0" t="n">
        <v>369</v>
      </c>
      <c r="L70" s="0" t="str">
        <f aca="false">IF(F70="","",IF(I70&gt;=0.025,"YES","no"))</f>
        <v/>
      </c>
    </row>
    <row r="71" customFormat="false" ht="15" hidden="false" customHeight="false" outlineLevel="0" collapsed="false">
      <c r="A71" s="0" t="s">
        <v>147</v>
      </c>
      <c r="B71" s="0" t="s">
        <v>125</v>
      </c>
      <c r="C71" s="0" t="s">
        <v>167</v>
      </c>
      <c r="D71" s="0" t="n">
        <v>0.7814</v>
      </c>
      <c r="E71" s="0" t="n">
        <f aca="false">IF(D71&gt;=0.5,-100*D71/(1-D71),100*(1-D71)/D71)</f>
        <v>-357.456541628545</v>
      </c>
      <c r="F71" s="4"/>
      <c r="G71" s="5" t="s">
        <v>105</v>
      </c>
      <c r="H71" s="0" t="str">
        <f aca="false">IF(F71="","",IF(F71&gt;0,100/(F71+100),-F71/(-F71+100)))</f>
        <v/>
      </c>
      <c r="I71" s="0" t="str">
        <f aca="false">IF(F71="","",D71*IF(F71&gt;0,1+F71/100,1+100/-F71)-1)</f>
        <v/>
      </c>
      <c r="J71" s="0" t="str">
        <f aca="false">IF(F71="","",MAX(0,MIN(0.02,0.25*((IF(F71&gt;0,F71/100,100/-F71))*D71-(1-D71))/IF(F71&gt;0,F71/100,100/-F71))))</f>
        <v/>
      </c>
      <c r="K71" s="0" t="n">
        <v>-321</v>
      </c>
      <c r="L71" s="0" t="str">
        <f aca="false">IF(F71="","",IF(I71&gt;=0.025,"YES","no"))</f>
        <v/>
      </c>
    </row>
    <row r="72" customFormat="false" ht="15" hidden="false" customHeight="false" outlineLevel="0" collapsed="false">
      <c r="A72" s="0" t="s">
        <v>147</v>
      </c>
      <c r="B72" s="0" t="s">
        <v>138</v>
      </c>
      <c r="C72" s="0" t="s">
        <v>139</v>
      </c>
      <c r="D72" s="0" t="n">
        <v>0.4816</v>
      </c>
      <c r="E72" s="0" t="n">
        <f aca="false">IF(D72&gt;=0.5,-100*D72/(1-D72),100*(1-D72)/D72)</f>
        <v>107.641196013289</v>
      </c>
      <c r="F72" s="4"/>
      <c r="G72" s="5" t="s">
        <v>105</v>
      </c>
      <c r="H72" s="0" t="str">
        <f aca="false">IF(F72="","",IF(F72&gt;0,100/(F72+100),-F72/(-F72+100)))</f>
        <v/>
      </c>
      <c r="I72" s="0" t="str">
        <f aca="false">IF(F72="","",D72*IF(F72&gt;0,1+F72/100,1+100/-F72)-1)</f>
        <v/>
      </c>
      <c r="J72" s="0" t="str">
        <f aca="false">IF(F72="","",MAX(0,MIN(0.02,0.25*((IF(F72&gt;0,F72/100,100/-F72))*D72-(1-D72))/IF(F72&gt;0,F72/100,100/-F72))))</f>
        <v/>
      </c>
      <c r="K72" s="0" t="n">
        <v>113</v>
      </c>
      <c r="L72" s="0" t="str">
        <f aca="false">IF(F72="","",IF(I72&gt;=0.025,"YES","no"))</f>
        <v/>
      </c>
    </row>
    <row r="73" customFormat="false" ht="15" hidden="false" customHeight="false" outlineLevel="0" collapsed="false">
      <c r="A73" s="0" t="s">
        <v>147</v>
      </c>
      <c r="B73" s="0" t="s">
        <v>138</v>
      </c>
      <c r="C73" s="0" t="s">
        <v>140</v>
      </c>
      <c r="D73" s="0" t="n">
        <v>0.5184</v>
      </c>
      <c r="E73" s="0" t="n">
        <f aca="false">IF(D73&gt;=0.5,-100*D73/(1-D73),100*(1-D73)/D73)</f>
        <v>-107.641196013289</v>
      </c>
      <c r="F73" s="4"/>
      <c r="G73" s="5" t="s">
        <v>105</v>
      </c>
      <c r="H73" s="0" t="str">
        <f aca="false">IF(F73="","",IF(F73&gt;0,100/(F73+100),-F73/(-F73+100)))</f>
        <v/>
      </c>
      <c r="I73" s="0" t="str">
        <f aca="false">IF(F73="","",D73*IF(F73&gt;0,1+F73/100,1+100/-F73)-1)</f>
        <v/>
      </c>
      <c r="J73" s="0" t="str">
        <f aca="false">IF(F73="","",MAX(0,MIN(0.02,0.25*((IF(F73&gt;0,F73/100,100/-F73))*D73-(1-D73))/IF(F73&gt;0,F73/100,100/-F73))))</f>
        <v/>
      </c>
      <c r="K73" s="0" t="n">
        <v>-102</v>
      </c>
      <c r="L73" s="0" t="str">
        <f aca="false">IF(F73="","",IF(I73&gt;=0.025,"YES","no"))</f>
        <v/>
      </c>
    </row>
    <row r="74" customFormat="false" ht="15" hidden="false" customHeight="false" outlineLevel="0" collapsed="false">
      <c r="A74" s="0" t="s">
        <v>147</v>
      </c>
      <c r="B74" s="0" t="s">
        <v>141</v>
      </c>
      <c r="C74" s="0" t="s">
        <v>148</v>
      </c>
      <c r="D74" s="0" t="n">
        <v>0.5992</v>
      </c>
      <c r="E74" s="0" t="n">
        <f aca="false">IF(D74&gt;=0.5,-100*D74/(1-D74),100*(1-D74)/D74)</f>
        <v>-149.500998003992</v>
      </c>
      <c r="F74" s="4"/>
      <c r="G74" s="5" t="s">
        <v>105</v>
      </c>
      <c r="H74" s="0" t="str">
        <f aca="false">IF(F74="","",IF(F74&gt;0,100/(F74+100),-F74/(-F74+100)))</f>
        <v/>
      </c>
      <c r="I74" s="0" t="str">
        <f aca="false">IF(F74="","",D74*IF(F74&gt;0,1+F74/100,1+100/-F74)-1)</f>
        <v/>
      </c>
      <c r="J74" s="0" t="str">
        <f aca="false">IF(F74="","",MAX(0,MIN(0.02,0.25*((IF(F74&gt;0,F74/100,100/-F74))*D74-(1-D74))/IF(F74&gt;0,F74/100,100/-F74))))</f>
        <v/>
      </c>
      <c r="K74" s="0" t="n">
        <v>-141</v>
      </c>
      <c r="L74" s="0" t="str">
        <f aca="false">IF(F74="","",IF(I74&gt;=0.025,"YES","no"))</f>
        <v/>
      </c>
    </row>
    <row r="75" customFormat="false" ht="15" hidden="false" customHeight="false" outlineLevel="0" collapsed="false">
      <c r="A75" s="0" t="s">
        <v>147</v>
      </c>
      <c r="B75" s="0" t="s">
        <v>141</v>
      </c>
      <c r="C75" s="0" t="s">
        <v>149</v>
      </c>
      <c r="D75" s="0" t="n">
        <v>0.4008</v>
      </c>
      <c r="E75" s="0" t="n">
        <f aca="false">IF(D75&gt;=0.5,-100*D75/(1-D75),100*(1-D75)/D75)</f>
        <v>149.500998003992</v>
      </c>
      <c r="F75" s="4"/>
      <c r="G75" s="5" t="s">
        <v>105</v>
      </c>
      <c r="H75" s="0" t="str">
        <f aca="false">IF(F75="","",IF(F75&gt;0,100/(F75+100),-F75/(-F75+100)))</f>
        <v/>
      </c>
      <c r="I75" s="0" t="str">
        <f aca="false">IF(F75="","",D75*IF(F75&gt;0,1+F75/100,1+100/-F75)-1)</f>
        <v/>
      </c>
      <c r="J75" s="0" t="str">
        <f aca="false">IF(F75="","",MAX(0,MIN(0.02,0.25*((IF(F75&gt;0,F75/100,100/-F75))*D75-(1-D75))/IF(F75&gt;0,F75/100,100/-F75))))</f>
        <v/>
      </c>
      <c r="K75" s="0" t="n">
        <v>156</v>
      </c>
      <c r="L75" s="0" t="str">
        <f aca="false">IF(F75="","",IF(I75&gt;=0.025,"YES","no"))</f>
        <v/>
      </c>
    </row>
    <row r="76" customFormat="false" ht="15" hidden="false" customHeight="false" outlineLevel="0" collapsed="false">
      <c r="A76" s="0" t="s">
        <v>147</v>
      </c>
      <c r="B76" s="0" t="s">
        <v>142</v>
      </c>
      <c r="C76" s="0" t="s">
        <v>168</v>
      </c>
      <c r="D76" s="0" t="n">
        <v>0.389</v>
      </c>
      <c r="E76" s="0" t="n">
        <f aca="false">IF(D76&gt;=0.5,-100*D76/(1-D76),100*(1-D76)/D76)</f>
        <v>157.06940874036</v>
      </c>
      <c r="F76" s="4"/>
      <c r="G76" s="5" t="s">
        <v>105</v>
      </c>
      <c r="H76" s="0" t="str">
        <f aca="false">IF(F76="","",IF(F76&gt;0,100/(F76+100),-F76/(-F76+100)))</f>
        <v/>
      </c>
      <c r="I76" s="0" t="str">
        <f aca="false">IF(F76="","",D76*IF(F76&gt;0,1+F76/100,1+100/-F76)-1)</f>
        <v/>
      </c>
      <c r="J76" s="0" t="str">
        <f aca="false">IF(F76="","",MAX(0,MIN(0.02,0.25*((IF(F76&gt;0,F76/100,100/-F76))*D76-(1-D76))/IF(F76&gt;0,F76/100,100/-F76))))</f>
        <v/>
      </c>
      <c r="K76" s="0" t="n">
        <v>163</v>
      </c>
      <c r="L76" s="0" t="str">
        <f aca="false">IF(F76="","",IF(I76&gt;=0.025,"YES","no"))</f>
        <v/>
      </c>
    </row>
    <row r="77" customFormat="false" ht="15" hidden="false" customHeight="false" outlineLevel="0" collapsed="false">
      <c r="A77" s="0" t="s">
        <v>147</v>
      </c>
      <c r="B77" s="0" t="s">
        <v>142</v>
      </c>
      <c r="C77" s="0" t="s">
        <v>169</v>
      </c>
      <c r="D77" s="0" t="n">
        <v>0.2244</v>
      </c>
      <c r="E77" s="0" t="n">
        <f aca="false">IF(D77&gt;=0.5,-100*D77/(1-D77),100*(1-D77)/D77)</f>
        <v>345.632798573975</v>
      </c>
      <c r="F77" s="4"/>
      <c r="G77" s="5" t="s">
        <v>105</v>
      </c>
      <c r="H77" s="0" t="str">
        <f aca="false">IF(F77="","",IF(F77&gt;0,100/(F77+100),-F77/(-F77+100)))</f>
        <v/>
      </c>
      <c r="I77" s="0" t="str">
        <f aca="false">IF(F77="","",D77*IF(F77&gt;0,1+F77/100,1+100/-F77)-1)</f>
        <v/>
      </c>
      <c r="J77" s="0" t="str">
        <f aca="false">IF(F77="","",MAX(0,MIN(0.02,0.25*((IF(F77&gt;0,F77/100,100/-F77))*D77-(1-D77))/IF(F77&gt;0,F77/100,100/-F77))))</f>
        <v/>
      </c>
      <c r="K77" s="0" t="n">
        <v>357</v>
      </c>
      <c r="L77" s="0" t="str">
        <f aca="false">IF(F77="","",IF(I77&gt;=0.025,"YES","no"))</f>
        <v/>
      </c>
    </row>
    <row r="78" customFormat="false" ht="15" hidden="false" customHeight="false" outlineLevel="0" collapsed="false">
      <c r="A78" s="0" t="s">
        <v>147</v>
      </c>
      <c r="B78" s="0" t="s">
        <v>142</v>
      </c>
      <c r="C78" s="0" t="s">
        <v>170</v>
      </c>
      <c r="D78" s="0" t="n">
        <v>0.1963</v>
      </c>
      <c r="E78" s="0" t="n">
        <f aca="false">IF(D78&gt;=0.5,-100*D78/(1-D78),100*(1-D78)/D78)</f>
        <v>409.424350483953</v>
      </c>
      <c r="F78" s="4"/>
      <c r="G78" s="5" t="s">
        <v>105</v>
      </c>
      <c r="H78" s="0" t="str">
        <f aca="false">IF(F78="","",IF(F78&gt;0,100/(F78+100),-F78/(-F78+100)))</f>
        <v/>
      </c>
      <c r="I78" s="0" t="str">
        <f aca="false">IF(F78="","",D78*IF(F78&gt;0,1+F78/100,1+100/-F78)-1)</f>
        <v/>
      </c>
      <c r="J78" s="0" t="str">
        <f aca="false">IF(F78="","",MAX(0,MIN(0.02,0.25*((IF(F78&gt;0,F78/100,100/-F78))*D78-(1-D78))/IF(F78&gt;0,F78/100,100/-F78))))</f>
        <v/>
      </c>
      <c r="K78" s="0" t="n">
        <v>422</v>
      </c>
      <c r="L78" s="0" t="str">
        <f aca="false">IF(F78="","",IF(I78&gt;=0.025,"YES","no"))</f>
        <v/>
      </c>
    </row>
    <row r="79" customFormat="false" ht="15" hidden="false" customHeight="false" outlineLevel="0" collapsed="false">
      <c r="A79" s="0" t="s">
        <v>147</v>
      </c>
      <c r="B79" s="0" t="s">
        <v>142</v>
      </c>
      <c r="C79" s="0" t="s">
        <v>171</v>
      </c>
      <c r="D79" s="0" t="n">
        <v>0.1902</v>
      </c>
      <c r="E79" s="0" t="n">
        <f aca="false">IF(D79&gt;=0.5,-100*D79/(1-D79),100*(1-D79)/D79)</f>
        <v>425.762355415352</v>
      </c>
      <c r="F79" s="4"/>
      <c r="G79" s="5" t="s">
        <v>105</v>
      </c>
      <c r="H79" s="0" t="str">
        <f aca="false">IF(F79="","",IF(F79&gt;0,100/(F79+100),-F79/(-F79+100)))</f>
        <v/>
      </c>
      <c r="I79" s="0" t="str">
        <f aca="false">IF(F79="","",D79*IF(F79&gt;0,1+F79/100,1+100/-F79)-1)</f>
        <v/>
      </c>
      <c r="J79" s="0" t="str">
        <f aca="false">IF(F79="","",MAX(0,MIN(0.02,0.25*((IF(F79&gt;0,F79/100,100/-F79))*D79-(1-D79))/IF(F79&gt;0,F79/100,100/-F79))))</f>
        <v/>
      </c>
      <c r="K79" s="0" t="n">
        <v>439</v>
      </c>
      <c r="L79" s="0" t="str">
        <f aca="false">IF(F79="","",IF(I79&gt;=0.025,"YES","no"))</f>
        <v/>
      </c>
    </row>
    <row r="81" customFormat="false" ht="15" hidden="false" customHeight="false" outlineLevel="0" collapsed="false">
      <c r="A81" s="3" t="s">
        <v>172</v>
      </c>
    </row>
    <row r="82" customFormat="false" ht="15" hidden="false" customHeight="false" outlineLevel="0" collapsed="false">
      <c r="A82" s="3" t="s">
        <v>86</v>
      </c>
      <c r="B82" s="3" t="s">
        <v>173</v>
      </c>
      <c r="C82" s="3" t="s">
        <v>174</v>
      </c>
      <c r="D82" s="3" t="s">
        <v>175</v>
      </c>
      <c r="E82" s="3" t="s">
        <v>90</v>
      </c>
      <c r="F82" s="3" t="s">
        <v>176</v>
      </c>
      <c r="G82" s="3" t="s">
        <v>94</v>
      </c>
      <c r="H82" s="3" t="s">
        <v>177</v>
      </c>
    </row>
    <row r="83" customFormat="false" ht="15" hidden="false" customHeight="false" outlineLevel="0" collapsed="false">
      <c r="A83" s="0" t="s">
        <v>98</v>
      </c>
      <c r="B83" s="0" t="s">
        <v>178</v>
      </c>
      <c r="C83" s="0" t="n">
        <v>0.4964</v>
      </c>
      <c r="D83" s="0" t="n">
        <v>0.4236</v>
      </c>
      <c r="E83" s="0" t="n">
        <f aca="false">IF(C83&gt;=0.5,-100*C83/(1-C83),100*(1-C83)/C83)</f>
        <v>101.450443190975</v>
      </c>
      <c r="F83" s="4"/>
      <c r="G83" s="0" t="str">
        <f aca="false">IF(F83="","",C83*IF(F83&gt;0,1+F83/100,1+100/-F83)-1)</f>
        <v/>
      </c>
      <c r="H83" s="0" t="n">
        <v>112</v>
      </c>
    </row>
    <row r="84" customFormat="false" ht="15" hidden="false" customHeight="false" outlineLevel="0" collapsed="false">
      <c r="A84" s="0" t="s">
        <v>98</v>
      </c>
      <c r="B84" s="0" t="s">
        <v>179</v>
      </c>
      <c r="C84" s="0" t="n">
        <v>0.4941</v>
      </c>
      <c r="D84" s="0" t="n">
        <v>0.4164</v>
      </c>
      <c r="E84" s="0" t="n">
        <f aca="false">IF(C84&gt;=0.5,-100*C84/(1-C84),100*(1-C84)/C84)</f>
        <v>102.388180530257</v>
      </c>
      <c r="F84" s="4"/>
      <c r="G84" s="0" t="str">
        <f aca="false">IF(F84="","",C84*IF(F84&gt;0,1+F84/100,1+100/-F84)-1)</f>
        <v/>
      </c>
      <c r="H84" s="0" t="n">
        <v>113</v>
      </c>
    </row>
    <row r="85" customFormat="false" ht="15" hidden="false" customHeight="false" outlineLevel="0" collapsed="false">
      <c r="A85" s="0" t="s">
        <v>98</v>
      </c>
      <c r="B85" s="0" t="s">
        <v>180</v>
      </c>
      <c r="C85" s="0" t="n">
        <v>0.4699</v>
      </c>
      <c r="D85" s="0" t="n">
        <v>0.3871</v>
      </c>
      <c r="E85" s="0" t="n">
        <f aca="false">IF(C85&gt;=0.5,-100*C85/(1-C85),100*(1-C85)/C85)</f>
        <v>112.811236433284</v>
      </c>
      <c r="F85" s="4"/>
      <c r="G85" s="0" t="str">
        <f aca="false">IF(F85="","",C85*IF(F85&gt;0,1+F85/100,1+100/-F85)-1)</f>
        <v/>
      </c>
      <c r="H85" s="0" t="n">
        <v>123</v>
      </c>
    </row>
    <row r="86" customFormat="false" ht="15" hidden="false" customHeight="false" outlineLevel="0" collapsed="false">
      <c r="A86" s="0" t="s">
        <v>98</v>
      </c>
      <c r="B86" s="0" t="s">
        <v>181</v>
      </c>
      <c r="C86" s="0" t="n">
        <v>0.4675</v>
      </c>
      <c r="D86" s="0" t="n">
        <v>0.3805</v>
      </c>
      <c r="E86" s="0" t="n">
        <f aca="false">IF(C86&gt;=0.5,-100*C86/(1-C86),100*(1-C86)/C86)</f>
        <v>113.903743315508</v>
      </c>
      <c r="F86" s="4"/>
      <c r="G86" s="0" t="str">
        <f aca="false">IF(F86="","",C86*IF(F86&gt;0,1+F86/100,1+100/-F86)-1)</f>
        <v/>
      </c>
      <c r="H86" s="0" t="n">
        <v>125</v>
      </c>
    </row>
    <row r="87" customFormat="false" ht="15" hidden="false" customHeight="false" outlineLevel="0" collapsed="false">
      <c r="A87" s="0" t="s">
        <v>98</v>
      </c>
      <c r="B87" s="0" t="s">
        <v>182</v>
      </c>
      <c r="C87" s="0" t="n">
        <v>0.4298</v>
      </c>
      <c r="D87" s="0" t="n">
        <v>0.3338</v>
      </c>
      <c r="E87" s="0" t="n">
        <f aca="false">IF(C87&gt;=0.5,-100*C87/(1-C87),100*(1-C87)/C87)</f>
        <v>132.666356444858</v>
      </c>
      <c r="F87" s="4"/>
      <c r="G87" s="0" t="str">
        <f aca="false">IF(F87="","",C87*IF(F87&gt;0,1+F87/100,1+100/-F87)-1)</f>
        <v/>
      </c>
      <c r="H87" s="0" t="n">
        <v>144</v>
      </c>
    </row>
    <row r="88" customFormat="false" ht="15" hidden="false" customHeight="false" outlineLevel="0" collapsed="false">
      <c r="A88" s="0" t="s">
        <v>98</v>
      </c>
      <c r="B88" s="0" t="s">
        <v>183</v>
      </c>
      <c r="C88" s="0" t="n">
        <v>0.4294</v>
      </c>
      <c r="D88" s="0" t="n">
        <v>0.3282</v>
      </c>
      <c r="E88" s="0" t="n">
        <f aca="false">IF(C88&gt;=0.5,-100*C88/(1-C88),100*(1-C88)/C88)</f>
        <v>132.883092687471</v>
      </c>
      <c r="F88" s="4"/>
      <c r="G88" s="0" t="str">
        <f aca="false">IF(F88="","",C88*IF(F88&gt;0,1+F88/100,1+100/-F88)-1)</f>
        <v/>
      </c>
      <c r="H88" s="0" t="n">
        <v>145</v>
      </c>
    </row>
    <row r="89" customFormat="false" ht="15" hidden="false" customHeight="false" outlineLevel="0" collapsed="false">
      <c r="A89" s="0" t="s">
        <v>98</v>
      </c>
      <c r="B89" s="0" t="s">
        <v>184</v>
      </c>
      <c r="C89" s="0" t="n">
        <v>0.2896</v>
      </c>
      <c r="D89" s="0" t="n">
        <v>0.1829</v>
      </c>
      <c r="E89" s="0" t="n">
        <f aca="false">IF(C89&gt;=0.5,-100*C89/(1-C89),100*(1-C89)/C89)</f>
        <v>245.303867403315</v>
      </c>
      <c r="F89" s="4"/>
      <c r="G89" s="0" t="str">
        <f aca="false">IF(F89="","",C89*IF(F89&gt;0,1+F89/100,1+100/-F89)-1)</f>
        <v/>
      </c>
      <c r="H89" s="0" t="n">
        <v>263</v>
      </c>
    </row>
    <row r="90" customFormat="false" ht="15" hidden="false" customHeight="false" outlineLevel="0" collapsed="false">
      <c r="A90" s="0" t="s">
        <v>98</v>
      </c>
      <c r="B90" s="0" t="s">
        <v>185</v>
      </c>
      <c r="C90" s="0" t="n">
        <v>0.629</v>
      </c>
      <c r="D90" s="0" t="n">
        <v>0.471</v>
      </c>
      <c r="E90" s="0" t="n">
        <f aca="false">IF(C90&gt;=0.5,-100*C90/(1-C90),100*(1-C90)/C90)</f>
        <v>-169.541778975741</v>
      </c>
      <c r="F90" s="4"/>
      <c r="G90" s="0" t="str">
        <f aca="false">IF(F90="","",C90*IF(F90&gt;0,1+F90/100,1+100/-F90)-1)</f>
        <v/>
      </c>
      <c r="H90" s="0" t="n">
        <v>-149</v>
      </c>
    </row>
    <row r="91" customFormat="false" ht="15" hidden="false" customHeight="false" outlineLevel="0" collapsed="false">
      <c r="A91" s="0" t="s">
        <v>98</v>
      </c>
      <c r="B91" s="0" t="s">
        <v>186</v>
      </c>
      <c r="C91" s="0" t="n">
        <v>0.626</v>
      </c>
      <c r="D91" s="0" t="n">
        <v>0.4613</v>
      </c>
      <c r="E91" s="0" t="n">
        <f aca="false">IF(C91&gt;=0.5,-100*C91/(1-C91),100*(1-C91)/C91)</f>
        <v>-167.379679144385</v>
      </c>
      <c r="F91" s="4"/>
      <c r="G91" s="0" t="str">
        <f aca="false">IF(F91="","",C91*IF(F91&gt;0,1+F91/100,1+100/-F91)-1)</f>
        <v/>
      </c>
      <c r="H91" s="0" t="n">
        <v>-148</v>
      </c>
    </row>
    <row r="92" customFormat="false" ht="15" hidden="false" customHeight="false" outlineLevel="0" collapsed="false">
      <c r="A92" s="0" t="s">
        <v>98</v>
      </c>
      <c r="B92" s="0" t="s">
        <v>187</v>
      </c>
      <c r="C92" s="0" t="n">
        <v>0.2868</v>
      </c>
      <c r="D92" s="0" t="n">
        <v>0.2801</v>
      </c>
      <c r="E92" s="0" t="n">
        <f aca="false">IF(C92&gt;=0.5,-100*C92/(1-C92),100*(1-C92)/C92)</f>
        <v>248.675034867504</v>
      </c>
      <c r="F92" s="4"/>
      <c r="G92" s="0" t="str">
        <f aca="false">IF(F92="","",C92*IF(F92&gt;0,1+F92/100,1+100/-F92)-1)</f>
        <v/>
      </c>
      <c r="H92" s="0" t="n">
        <v>266</v>
      </c>
    </row>
    <row r="93" customFormat="false" ht="15" hidden="false" customHeight="false" outlineLevel="0" collapsed="false">
      <c r="A93" s="0" t="s">
        <v>98</v>
      </c>
      <c r="B93" s="0" t="s">
        <v>188</v>
      </c>
      <c r="C93" s="0" t="n">
        <v>0.268</v>
      </c>
      <c r="D93" s="0" t="n">
        <v>0.2748</v>
      </c>
      <c r="E93" s="0" t="n">
        <f aca="false">IF(C93&gt;=0.5,-100*C93/(1-C93),100*(1-C93)/C93)</f>
        <v>273.134328358209</v>
      </c>
      <c r="F93" s="4"/>
      <c r="G93" s="0" t="str">
        <f aca="false">IF(F93="","",C93*IF(F93&gt;0,1+F93/100,1+100/-F93)-1)</f>
        <v/>
      </c>
      <c r="H93" s="0" t="n">
        <v>292</v>
      </c>
    </row>
    <row r="94" customFormat="false" ht="15" hidden="false" customHeight="false" outlineLevel="0" collapsed="false">
      <c r="A94" s="0" t="s">
        <v>98</v>
      </c>
      <c r="B94" s="0" t="s">
        <v>189</v>
      </c>
      <c r="C94" s="0" t="n">
        <v>0.5705</v>
      </c>
      <c r="D94" s="0" t="n">
        <v>0.356</v>
      </c>
      <c r="E94" s="0" t="n">
        <f aca="false">IF(C94&gt;=0.5,-100*C94/(1-C94),100*(1-C94)/C94)</f>
        <v>-132.828870779977</v>
      </c>
      <c r="F94" s="4"/>
      <c r="G94" s="0" t="str">
        <f aca="false">IF(F94="","",C94*IF(F94&gt;0,1+F94/100,1+100/-F94)-1)</f>
        <v/>
      </c>
      <c r="H94" s="0" t="n">
        <v>-119</v>
      </c>
    </row>
    <row r="95" customFormat="false" ht="15" hidden="false" customHeight="false" outlineLevel="0" collapsed="false">
      <c r="A95" s="0" t="s">
        <v>147</v>
      </c>
      <c r="B95" s="0" t="s">
        <v>190</v>
      </c>
      <c r="C95" s="0" t="n">
        <v>0.498</v>
      </c>
      <c r="D95" s="0" t="n">
        <v>0.4066</v>
      </c>
      <c r="E95" s="0" t="n">
        <f aca="false">IF(C95&gt;=0.5,-100*C95/(1-C95),100*(1-C95)/C95)</f>
        <v>100.803212851406</v>
      </c>
      <c r="F95" s="4"/>
      <c r="G95" s="0" t="str">
        <f aca="false">IF(F95="","",C95*IF(F95&gt;0,1+F95/100,1+100/-F95)-1)</f>
        <v/>
      </c>
      <c r="H95" s="0" t="n">
        <v>111</v>
      </c>
    </row>
    <row r="96" customFormat="false" ht="15" hidden="false" customHeight="false" outlineLevel="0" collapsed="false">
      <c r="A96" s="0" t="s">
        <v>147</v>
      </c>
      <c r="B96" s="0" t="s">
        <v>191</v>
      </c>
      <c r="C96" s="0" t="n">
        <v>0.554</v>
      </c>
      <c r="D96" s="0" t="n">
        <v>0.5161</v>
      </c>
      <c r="E96" s="0" t="n">
        <f aca="false">IF(C96&gt;=0.5,-100*C96/(1-C96),100*(1-C96)/C96)</f>
        <v>-124.215246636771</v>
      </c>
      <c r="F96" s="4"/>
      <c r="G96" s="0" t="str">
        <f aca="false">IF(F96="","",C96*IF(F96&gt;0,1+F96/100,1+100/-F96)-1)</f>
        <v/>
      </c>
      <c r="H96" s="0" t="n">
        <v>-112</v>
      </c>
    </row>
    <row r="97" customFormat="false" ht="15" hidden="false" customHeight="false" outlineLevel="0" collapsed="false">
      <c r="A97" s="0" t="s">
        <v>147</v>
      </c>
      <c r="B97" s="0" t="s">
        <v>192</v>
      </c>
      <c r="C97" s="0" t="n">
        <v>0.479</v>
      </c>
      <c r="D97" s="0" t="n">
        <v>0.3756</v>
      </c>
      <c r="E97" s="0" t="n">
        <f aca="false">IF(C97&gt;=0.5,-100*C97/(1-C97),100*(1-C97)/C97)</f>
        <v>108.768267223382</v>
      </c>
      <c r="F97" s="4"/>
      <c r="G97" s="0" t="str">
        <f aca="false">IF(F97="","",C97*IF(F97&gt;0,1+F97/100,1+100/-F97)-1)</f>
        <v/>
      </c>
      <c r="H97" s="0" t="n">
        <v>119</v>
      </c>
    </row>
    <row r="98" customFormat="false" ht="15" hidden="false" customHeight="false" outlineLevel="0" collapsed="false">
      <c r="A98" s="0" t="s">
        <v>147</v>
      </c>
      <c r="B98" s="0" t="s">
        <v>193</v>
      </c>
      <c r="C98" s="0" t="n">
        <v>0.5221</v>
      </c>
      <c r="D98" s="0" t="n">
        <v>0.4768</v>
      </c>
      <c r="E98" s="0" t="n">
        <f aca="false">IF(C98&gt;=0.5,-100*C98/(1-C98),100*(1-C98)/C98)</f>
        <v>-109.248796819418</v>
      </c>
      <c r="F98" s="4"/>
      <c r="G98" s="0" t="str">
        <f aca="false">IF(F98="","",C98*IF(F98&gt;0,1+F98/100,1+100/-F98)-1)</f>
        <v/>
      </c>
      <c r="H98" s="0" t="n">
        <v>101</v>
      </c>
    </row>
    <row r="99" customFormat="false" ht="15" hidden="false" customHeight="false" outlineLevel="0" collapsed="false">
      <c r="A99" s="0" t="s">
        <v>147</v>
      </c>
      <c r="B99" s="0" t="s">
        <v>194</v>
      </c>
      <c r="C99" s="0" t="n">
        <v>0.4436</v>
      </c>
      <c r="D99" s="0" t="n">
        <v>0.3212</v>
      </c>
      <c r="E99" s="0" t="n">
        <f aca="false">IF(C99&gt;=0.5,-100*C99/(1-C99),100*(1-C99)/C99)</f>
        <v>125.428313796213</v>
      </c>
      <c r="F99" s="4"/>
      <c r="G99" s="0" t="str">
        <f aca="false">IF(F99="","",C99*IF(F99&gt;0,1+F99/100,1+100/-F99)-1)</f>
        <v/>
      </c>
      <c r="H99" s="0" t="n">
        <v>137</v>
      </c>
    </row>
    <row r="100" customFormat="false" ht="15" hidden="false" customHeight="false" outlineLevel="0" collapsed="false">
      <c r="A100" s="0" t="s">
        <v>147</v>
      </c>
      <c r="B100" s="0" t="s">
        <v>195</v>
      </c>
      <c r="C100" s="0" t="n">
        <v>0.4674</v>
      </c>
      <c r="D100" s="0" t="n">
        <v>0.4077</v>
      </c>
      <c r="E100" s="0" t="n">
        <f aca="false">IF(C100&gt;=0.5,-100*C100/(1-C100),100*(1-C100)/C100)</f>
        <v>113.949507916132</v>
      </c>
      <c r="F100" s="4"/>
      <c r="G100" s="0" t="str">
        <f aca="false">IF(F100="","",C100*IF(F100&gt;0,1+F100/100,1+100/-F100)-1)</f>
        <v/>
      </c>
      <c r="H100" s="0" t="n">
        <v>125</v>
      </c>
    </row>
    <row r="101" customFormat="false" ht="15" hidden="false" customHeight="false" outlineLevel="0" collapsed="false">
      <c r="A101" s="0" t="s">
        <v>147</v>
      </c>
      <c r="B101" s="0" t="s">
        <v>184</v>
      </c>
      <c r="C101" s="0" t="n">
        <v>0.375</v>
      </c>
      <c r="D101" s="0" t="n">
        <v>0.2531</v>
      </c>
      <c r="E101" s="0" t="n">
        <f aca="false">IF(C101&gt;=0.5,-100*C101/(1-C101),100*(1-C101)/C101)</f>
        <v>166.666666666667</v>
      </c>
      <c r="F101" s="4"/>
      <c r="G101" s="0" t="str">
        <f aca="false">IF(F101="","",C101*IF(F101&gt;0,1+F101/100,1+100/-F101)-1)</f>
        <v/>
      </c>
      <c r="H101" s="0" t="n">
        <v>180</v>
      </c>
    </row>
    <row r="102" customFormat="false" ht="15" hidden="false" customHeight="false" outlineLevel="0" collapsed="false">
      <c r="A102" s="0" t="s">
        <v>147</v>
      </c>
      <c r="B102" s="0" t="s">
        <v>196</v>
      </c>
      <c r="C102" s="0" t="n">
        <v>0.5503</v>
      </c>
      <c r="D102" s="0" t="n">
        <v>0.3846</v>
      </c>
      <c r="E102" s="0" t="n">
        <f aca="false">IF(C102&gt;=0.5,-100*C102/(1-C102),100*(1-C102)/C102)</f>
        <v>-122.37046920169</v>
      </c>
      <c r="F102" s="4"/>
      <c r="G102" s="0" t="str">
        <f aca="false">IF(F102="","",C102*IF(F102&gt;0,1+F102/100,1+100/-F102)-1)</f>
        <v/>
      </c>
      <c r="H102" s="0" t="n">
        <v>-110</v>
      </c>
    </row>
    <row r="103" customFormat="false" ht="15" hidden="false" customHeight="false" outlineLevel="0" collapsed="false">
      <c r="A103" s="0" t="s">
        <v>147</v>
      </c>
      <c r="B103" s="0" t="s">
        <v>197</v>
      </c>
      <c r="C103" s="0" t="n">
        <v>0.7246</v>
      </c>
      <c r="D103" s="0" t="n">
        <v>0.606</v>
      </c>
      <c r="E103" s="0" t="n">
        <f aca="false">IF(C103&gt;=0.5,-100*C103/(1-C103),100*(1-C103)/C103)</f>
        <v>-263.108206245461</v>
      </c>
      <c r="F103" s="4"/>
      <c r="G103" s="0" t="str">
        <f aca="false">IF(F103="","",C103*IF(F103&gt;0,1+F103/100,1+100/-F103)-1)</f>
        <v/>
      </c>
      <c r="H103" s="0" t="n">
        <v>-223</v>
      </c>
    </row>
    <row r="104" customFormat="false" ht="15" hidden="false" customHeight="false" outlineLevel="0" collapsed="false">
      <c r="A104" s="0" t="s">
        <v>147</v>
      </c>
      <c r="B104" s="0" t="s">
        <v>198</v>
      </c>
      <c r="C104" s="0" t="n">
        <v>0.3319</v>
      </c>
      <c r="D104" s="0" t="n">
        <v>0.3599</v>
      </c>
      <c r="E104" s="0" t="n">
        <f aca="false">IF(C104&gt;=0.5,-100*C104/(1-C104),100*(1-C104)/C104)</f>
        <v>201.295570955107</v>
      </c>
      <c r="F104" s="4"/>
      <c r="G104" s="0" t="str">
        <f aca="false">IF(F104="","",C104*IF(F104&gt;0,1+F104/100,1+100/-F104)-1)</f>
        <v/>
      </c>
      <c r="H104" s="0" t="n">
        <v>216</v>
      </c>
    </row>
    <row r="105" customFormat="false" ht="15" hidden="false" customHeight="false" outlineLevel="0" collapsed="false">
      <c r="A105" s="0" t="s">
        <v>147</v>
      </c>
      <c r="B105" s="0" t="s">
        <v>199</v>
      </c>
      <c r="C105" s="0" t="n">
        <v>0.2829</v>
      </c>
      <c r="D105" s="0" t="n">
        <v>0.2549</v>
      </c>
      <c r="E105" s="0" t="n">
        <f aca="false">IF(C105&gt;=0.5,-100*C105/(1-C105),100*(1-C105)/C105)</f>
        <v>253.481795687522</v>
      </c>
      <c r="F105" s="4"/>
      <c r="G105" s="0" t="str">
        <f aca="false">IF(F105="","",C105*IF(F105&gt;0,1+F105/100,1+100/-F105)-1)</f>
        <v/>
      </c>
      <c r="H105" s="0" t="n">
        <v>271</v>
      </c>
    </row>
    <row r="106" customFormat="false" ht="15" hidden="false" customHeight="false" outlineLevel="0" collapsed="false">
      <c r="A106" s="0" t="s">
        <v>147</v>
      </c>
      <c r="B106" s="0" t="s">
        <v>189</v>
      </c>
      <c r="C106" s="0" t="n">
        <v>0.5441</v>
      </c>
      <c r="D106" s="0" t="n">
        <v>0.3358</v>
      </c>
      <c r="E106" s="0" t="n">
        <f aca="false">IF(C106&gt;=0.5,-100*C106/(1-C106),100*(1-C106)/C106)</f>
        <v>-119.346347883308</v>
      </c>
      <c r="F106" s="4"/>
      <c r="G106" s="0" t="str">
        <f aca="false">IF(F106="","",C106*IF(F106&gt;0,1+F106/100,1+100/-F106)-1)</f>
        <v/>
      </c>
      <c r="H106" s="0" t="n">
        <v>-108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23"/>
    <col collapsed="false" customWidth="true" hidden="false" outlineLevel="0" max="8" min="7" style="0" width="15"/>
    <col collapsed="false" customWidth="true" hidden="false" outlineLevel="0" max="9" min="9" style="0" width="10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3" t="s">
        <v>200</v>
      </c>
    </row>
    <row r="3" customFormat="false" ht="15" hidden="false" customHeight="false" outlineLevel="0" collapsed="false">
      <c r="A3" s="3" t="s">
        <v>201</v>
      </c>
      <c r="B3" s="3" t="s">
        <v>202</v>
      </c>
      <c r="C3" s="3" t="s">
        <v>203</v>
      </c>
      <c r="D3" s="3" t="s">
        <v>204</v>
      </c>
      <c r="E3" s="3" t="s">
        <v>205</v>
      </c>
      <c r="F3" s="3" t="s">
        <v>206</v>
      </c>
      <c r="G3" s="3" t="s">
        <v>207</v>
      </c>
      <c r="H3" s="3" t="s">
        <v>208</v>
      </c>
      <c r="I3" s="3" t="s">
        <v>209</v>
      </c>
      <c r="J3" s="3" t="s">
        <v>210</v>
      </c>
    </row>
    <row r="4" customFormat="false" ht="15" hidden="false" customHeight="false" outlineLevel="0" collapsed="false">
      <c r="A4" s="0" t="s">
        <v>98</v>
      </c>
      <c r="B4" s="0" t="s">
        <v>211</v>
      </c>
      <c r="C4" s="0" t="n">
        <v>0.548732580574212</v>
      </c>
      <c r="D4" s="0" t="n">
        <v>0.7</v>
      </c>
      <c r="E4" s="0" t="n">
        <v>9</v>
      </c>
      <c r="F4" s="0" t="n">
        <v>9</v>
      </c>
      <c r="G4" s="0" t="n">
        <v>9</v>
      </c>
      <c r="H4" s="0" t="n">
        <v>5</v>
      </c>
      <c r="I4" s="0" t="n">
        <v>9</v>
      </c>
      <c r="J4" s="0" t="s">
        <v>212</v>
      </c>
    </row>
    <row r="5" customFormat="false" ht="15" hidden="false" customHeight="false" outlineLevel="0" collapsed="false">
      <c r="A5" s="0" t="s">
        <v>98</v>
      </c>
      <c r="B5" s="0" t="s">
        <v>213</v>
      </c>
      <c r="C5" s="0" t="n">
        <v>0.555</v>
      </c>
      <c r="D5" s="0" t="n">
        <v>0.15</v>
      </c>
      <c r="E5" s="0" t="n">
        <v>4</v>
      </c>
      <c r="F5" s="0" t="n">
        <v>5</v>
      </c>
      <c r="G5" s="0" t="n">
        <v>5</v>
      </c>
      <c r="H5" s="0" t="n">
        <v>2</v>
      </c>
      <c r="I5" s="0" t="n">
        <v>6</v>
      </c>
      <c r="J5" s="0" t="s">
        <v>214</v>
      </c>
    </row>
    <row r="6" customFormat="false" ht="15" hidden="false" customHeight="false" outlineLevel="0" collapsed="false">
      <c r="A6" s="0" t="s">
        <v>98</v>
      </c>
      <c r="B6" s="0" t="s">
        <v>215</v>
      </c>
      <c r="C6" s="0" t="n">
        <v>0.46</v>
      </c>
      <c r="D6" s="0" t="n">
        <v>0.15</v>
      </c>
      <c r="E6" s="0" t="n">
        <v>8</v>
      </c>
      <c r="F6" s="0" t="n">
        <v>3</v>
      </c>
      <c r="G6" s="0" t="n">
        <v>4</v>
      </c>
      <c r="H6" s="0" t="n">
        <v>6</v>
      </c>
      <c r="I6" s="0" t="n">
        <v>2</v>
      </c>
      <c r="J6" s="0" t="s">
        <v>216</v>
      </c>
    </row>
    <row r="7" customFormat="false" ht="15" hidden="false" customHeight="false" outlineLevel="0" collapsed="false">
      <c r="A7" s="0" t="s">
        <v>98</v>
      </c>
      <c r="B7" s="0" t="s">
        <v>217</v>
      </c>
      <c r="C7" s="0" t="n">
        <v>0.536427456913588</v>
      </c>
      <c r="D7" s="0" t="n">
        <v>1</v>
      </c>
      <c r="J7" s="0" t="s">
        <v>218</v>
      </c>
    </row>
    <row r="8" customFormat="false" ht="15" hidden="false" customHeight="false" outlineLevel="0" collapsed="false">
      <c r="A8" s="0" t="s">
        <v>147</v>
      </c>
      <c r="B8" s="0" t="s">
        <v>211</v>
      </c>
      <c r="C8" s="0" t="n">
        <v>0.514906575983438</v>
      </c>
      <c r="D8" s="0" t="n">
        <v>0.7</v>
      </c>
      <c r="E8" s="0" t="n">
        <v>9</v>
      </c>
      <c r="F8" s="0" t="n">
        <v>9</v>
      </c>
      <c r="G8" s="0" t="n">
        <v>9</v>
      </c>
      <c r="H8" s="0" t="n">
        <v>5</v>
      </c>
      <c r="I8" s="0" t="n">
        <v>9</v>
      </c>
      <c r="J8" s="0" t="s">
        <v>212</v>
      </c>
    </row>
    <row r="9" customFormat="false" ht="15" hidden="false" customHeight="false" outlineLevel="0" collapsed="false">
      <c r="A9" s="0" t="s">
        <v>147</v>
      </c>
      <c r="B9" s="0" t="s">
        <v>213</v>
      </c>
      <c r="C9" s="0" t="n">
        <v>0.5363</v>
      </c>
      <c r="D9" s="0" t="n">
        <v>0.15</v>
      </c>
      <c r="E9" s="0" t="n">
        <v>4</v>
      </c>
      <c r="F9" s="0" t="n">
        <v>5</v>
      </c>
      <c r="G9" s="0" t="n">
        <v>5</v>
      </c>
      <c r="H9" s="0" t="n">
        <v>2</v>
      </c>
      <c r="I9" s="0" t="n">
        <v>6</v>
      </c>
      <c r="J9" s="0" t="s">
        <v>214</v>
      </c>
    </row>
    <row r="10" customFormat="false" ht="15" hidden="false" customHeight="false" outlineLevel="0" collapsed="false">
      <c r="A10" s="0" t="s">
        <v>147</v>
      </c>
      <c r="B10" s="0" t="s">
        <v>215</v>
      </c>
      <c r="C10" s="0" t="n">
        <v>0.58</v>
      </c>
      <c r="D10" s="0" t="n">
        <v>0.15</v>
      </c>
      <c r="E10" s="0" t="n">
        <v>8</v>
      </c>
      <c r="F10" s="0" t="n">
        <v>3</v>
      </c>
      <c r="G10" s="0" t="n">
        <v>4</v>
      </c>
      <c r="H10" s="0" t="n">
        <v>6</v>
      </c>
      <c r="I10" s="0" t="n">
        <v>2</v>
      </c>
      <c r="J10" s="0" t="s">
        <v>216</v>
      </c>
    </row>
    <row r="11" customFormat="false" ht="15" hidden="false" customHeight="false" outlineLevel="0" collapsed="false">
      <c r="A11" s="0" t="s">
        <v>147</v>
      </c>
      <c r="B11" s="0" t="s">
        <v>217</v>
      </c>
      <c r="C11" s="0" t="n">
        <v>0.527967074281436</v>
      </c>
      <c r="D11" s="0" t="n">
        <v>1</v>
      </c>
      <c r="J11" s="0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6" min="6" style="0" width="11"/>
    <col collapsed="false" customWidth="true" hidden="false" outlineLevel="0" max="9" min="7" style="0" width="10"/>
  </cols>
  <sheetData>
    <row r="1" customFormat="false" ht="15" hidden="false" customHeight="false" outlineLevel="0" collapsed="false">
      <c r="A1" s="3" t="s">
        <v>220</v>
      </c>
    </row>
    <row r="3" customFormat="false" ht="15" hidden="false" customHeight="false" outlineLevel="0" collapsed="false">
      <c r="A3" s="3" t="s">
        <v>201</v>
      </c>
      <c r="B3" s="3" t="s">
        <v>221</v>
      </c>
      <c r="C3" s="3" t="s">
        <v>222</v>
      </c>
      <c r="D3" s="3" t="s">
        <v>223</v>
      </c>
      <c r="E3" s="3" t="s">
        <v>224</v>
      </c>
      <c r="F3" s="3" t="s">
        <v>225</v>
      </c>
      <c r="G3" s="3" t="s">
        <v>226</v>
      </c>
      <c r="H3" s="3" t="s">
        <v>209</v>
      </c>
      <c r="I3" s="3" t="s">
        <v>227</v>
      </c>
    </row>
    <row r="4" customFormat="false" ht="15" hidden="false" customHeight="false" outlineLevel="0" collapsed="false">
      <c r="A4" s="0" t="s">
        <v>98</v>
      </c>
      <c r="B4" s="0" t="s">
        <v>211</v>
      </c>
      <c r="C4" s="0" t="s">
        <v>228</v>
      </c>
      <c r="D4" s="0" t="n">
        <v>0.6859</v>
      </c>
      <c r="E4" s="0" t="n">
        <v>-218</v>
      </c>
      <c r="F4" s="0" t="n">
        <v>-202</v>
      </c>
    </row>
    <row r="5" customFormat="false" ht="15" hidden="false" customHeight="false" outlineLevel="0" collapsed="false">
      <c r="A5" s="0" t="s">
        <v>98</v>
      </c>
      <c r="B5" s="0" t="s">
        <v>213</v>
      </c>
      <c r="C5" s="0" t="s">
        <v>228</v>
      </c>
      <c r="D5" s="0" t="n">
        <v>0.6859</v>
      </c>
      <c r="E5" s="0" t="n">
        <v>-218</v>
      </c>
      <c r="F5" s="0" t="n">
        <v>-202</v>
      </c>
      <c r="G5" s="0" t="n">
        <v>-200</v>
      </c>
      <c r="H5" s="0" t="n">
        <v>0.0288</v>
      </c>
      <c r="I5" s="0" t="n">
        <v>0.0144</v>
      </c>
    </row>
    <row r="6" customFormat="false" ht="15" hidden="false" customHeight="false" outlineLevel="0" collapsed="false">
      <c r="A6" s="0" t="s">
        <v>98</v>
      </c>
      <c r="B6" s="0" t="s">
        <v>215</v>
      </c>
      <c r="C6" s="0" t="s">
        <v>229</v>
      </c>
      <c r="D6" s="0" t="n">
        <v>0.4952</v>
      </c>
      <c r="E6" s="0" t="n">
        <v>102</v>
      </c>
      <c r="F6" s="0" t="n">
        <v>107</v>
      </c>
      <c r="G6" s="0" t="n">
        <v>-116</v>
      </c>
      <c r="H6" s="0" t="n">
        <v>-0.0779</v>
      </c>
      <c r="I6" s="0" t="n">
        <v>0</v>
      </c>
    </row>
    <row r="7" customFormat="false" ht="15" hidden="false" customHeight="false" outlineLevel="0" collapsed="false">
      <c r="A7" s="0" t="s">
        <v>98</v>
      </c>
      <c r="B7" s="0" t="s">
        <v>230</v>
      </c>
      <c r="C7" s="0" t="s">
        <v>231</v>
      </c>
      <c r="D7" s="0" t="n">
        <v>0.5048</v>
      </c>
      <c r="E7" s="0" t="n">
        <v>-102</v>
      </c>
      <c r="F7" s="0" t="n">
        <v>103</v>
      </c>
      <c r="G7" s="0" t="n">
        <v>100</v>
      </c>
      <c r="H7" s="0" t="n">
        <v>0.0096</v>
      </c>
      <c r="I7" s="0" t="n">
        <v>0.0024</v>
      </c>
    </row>
    <row r="8" customFormat="false" ht="15" hidden="false" customHeight="false" outlineLevel="0" collapsed="false">
      <c r="A8" s="0" t="s">
        <v>98</v>
      </c>
      <c r="B8" s="0" t="s">
        <v>213</v>
      </c>
      <c r="C8" s="0" t="s">
        <v>232</v>
      </c>
      <c r="D8" s="0" t="n">
        <v>0.5048</v>
      </c>
      <c r="E8" s="0" t="n">
        <v>-102</v>
      </c>
      <c r="F8" s="0" t="n">
        <v>103</v>
      </c>
      <c r="G8" s="0" t="n">
        <v>102</v>
      </c>
      <c r="H8" s="0" t="n">
        <v>0.0197</v>
      </c>
      <c r="I8" s="0" t="n">
        <v>0.0048</v>
      </c>
    </row>
    <row r="9" customFormat="false" ht="15" hidden="false" customHeight="false" outlineLevel="0" collapsed="false">
      <c r="A9" s="0" t="s">
        <v>98</v>
      </c>
      <c r="B9" s="0" t="s">
        <v>211</v>
      </c>
      <c r="C9" s="0" t="s">
        <v>233</v>
      </c>
      <c r="D9" s="0" t="n">
        <v>0.4941</v>
      </c>
      <c r="E9" s="0" t="n">
        <v>102</v>
      </c>
      <c r="F9" s="0" t="n">
        <v>113</v>
      </c>
    </row>
    <row r="10" customFormat="false" ht="15" hidden="false" customHeight="false" outlineLevel="0" collapsed="false">
      <c r="A10" s="0" t="s">
        <v>98</v>
      </c>
      <c r="B10" s="0" t="s">
        <v>213</v>
      </c>
      <c r="C10" s="0" t="s">
        <v>234</v>
      </c>
      <c r="D10" s="0" t="n">
        <v>0.2976</v>
      </c>
      <c r="E10" s="0" t="n">
        <v>236</v>
      </c>
      <c r="F10" s="0" t="n">
        <v>253</v>
      </c>
      <c r="G10" s="0" t="n">
        <v>175</v>
      </c>
      <c r="H10" s="0" t="n">
        <v>-0.1816</v>
      </c>
      <c r="I10" s="0" t="n">
        <v>0</v>
      </c>
    </row>
    <row r="11" customFormat="false" ht="15" hidden="false" customHeight="false" outlineLevel="0" collapsed="false">
      <c r="A11" s="0" t="s">
        <v>98</v>
      </c>
      <c r="B11" s="0" t="s">
        <v>215</v>
      </c>
      <c r="C11" s="0" t="s">
        <v>235</v>
      </c>
      <c r="D11" s="0" t="n">
        <v>0.2289</v>
      </c>
      <c r="E11" s="0" t="n">
        <v>337</v>
      </c>
      <c r="F11" s="0" t="n">
        <v>359</v>
      </c>
      <c r="G11" s="0" t="n">
        <v>230</v>
      </c>
      <c r="H11" s="0" t="n">
        <v>-0.2446</v>
      </c>
      <c r="I11" s="0" t="n">
        <v>0</v>
      </c>
    </row>
    <row r="12" customFormat="false" ht="15" hidden="false" customHeight="false" outlineLevel="0" collapsed="false">
      <c r="A12" s="0" t="s">
        <v>147</v>
      </c>
      <c r="B12" s="0" t="s">
        <v>211</v>
      </c>
      <c r="C12" s="0" t="s">
        <v>236</v>
      </c>
      <c r="D12" s="0" t="n">
        <v>0.611</v>
      </c>
      <c r="E12" s="0" t="n">
        <v>-157</v>
      </c>
      <c r="F12" s="0" t="n">
        <v>-148</v>
      </c>
    </row>
    <row r="13" customFormat="false" ht="15" hidden="false" customHeight="false" outlineLevel="0" collapsed="false">
      <c r="A13" s="0" t="s">
        <v>147</v>
      </c>
      <c r="B13" s="0" t="s">
        <v>213</v>
      </c>
      <c r="C13" s="0" t="s">
        <v>237</v>
      </c>
      <c r="D13" s="0" t="n">
        <v>0.6294</v>
      </c>
      <c r="E13" s="0" t="n">
        <v>-170</v>
      </c>
      <c r="F13" s="0" t="n">
        <v>-159</v>
      </c>
      <c r="G13" s="0" t="n">
        <v>-115</v>
      </c>
      <c r="H13" s="0" t="n">
        <v>0.1767</v>
      </c>
      <c r="I13" s="0" t="n">
        <v>0.02</v>
      </c>
    </row>
    <row r="14" customFormat="false" ht="15" hidden="false" customHeight="false" outlineLevel="0" collapsed="false">
      <c r="A14" s="0" t="s">
        <v>147</v>
      </c>
      <c r="B14" s="0" t="s">
        <v>215</v>
      </c>
      <c r="C14" s="0" t="s">
        <v>238</v>
      </c>
      <c r="D14" s="0" t="n">
        <v>0.5853</v>
      </c>
      <c r="E14" s="0" t="n">
        <v>-141</v>
      </c>
      <c r="F14" s="0" t="n">
        <v>-133</v>
      </c>
      <c r="G14" s="0" t="n">
        <v>-200</v>
      </c>
      <c r="H14" s="0" t="n">
        <v>-0.122</v>
      </c>
      <c r="I14" s="0" t="n">
        <v>0</v>
      </c>
    </row>
    <row r="15" customFormat="false" ht="15" hidden="false" customHeight="false" outlineLevel="0" collapsed="false">
      <c r="A15" s="0" t="s">
        <v>147</v>
      </c>
      <c r="B15" s="0" t="s">
        <v>230</v>
      </c>
      <c r="C15" s="0" t="s">
        <v>239</v>
      </c>
      <c r="D15" s="0" t="n">
        <v>0.4147</v>
      </c>
      <c r="E15" s="0" t="n">
        <v>141</v>
      </c>
      <c r="F15" s="0" t="n">
        <v>147</v>
      </c>
      <c r="G15" s="0" t="n">
        <v>175</v>
      </c>
      <c r="H15" s="0" t="n">
        <v>0.1403</v>
      </c>
      <c r="I15" s="0" t="n">
        <v>0.02</v>
      </c>
    </row>
    <row r="16" customFormat="false" ht="15" hidden="false" customHeight="false" outlineLevel="0" collapsed="false">
      <c r="A16" s="0" t="s">
        <v>147</v>
      </c>
      <c r="B16" s="0" t="s">
        <v>213</v>
      </c>
      <c r="C16" s="0" t="s">
        <v>240</v>
      </c>
      <c r="D16" s="0" t="n">
        <v>0.4147</v>
      </c>
      <c r="E16" s="0" t="n">
        <v>141</v>
      </c>
      <c r="F16" s="0" t="n">
        <v>147</v>
      </c>
      <c r="G16" s="0" t="n">
        <v>176</v>
      </c>
      <c r="H16" s="0" t="n">
        <v>0.1445</v>
      </c>
      <c r="I16" s="0" t="n">
        <v>0.02</v>
      </c>
    </row>
    <row r="17" customFormat="false" ht="15" hidden="false" customHeight="false" outlineLevel="0" collapsed="false">
      <c r="A17" s="0" t="s">
        <v>147</v>
      </c>
      <c r="B17" s="0" t="s">
        <v>241</v>
      </c>
      <c r="C17" s="0" t="s">
        <v>242</v>
      </c>
      <c r="D17" s="0" t="n">
        <v>0.479</v>
      </c>
      <c r="E17" s="0" t="n">
        <v>109</v>
      </c>
      <c r="F17" s="0" t="n">
        <v>119</v>
      </c>
      <c r="G17" s="0" t="n">
        <v>185</v>
      </c>
      <c r="H17" s="0" t="n">
        <v>0.3652</v>
      </c>
      <c r="I17" s="0" t="n">
        <v>0.02</v>
      </c>
    </row>
    <row r="18" customFormat="false" ht="15" hidden="false" customHeight="false" outlineLevel="0" collapsed="false">
      <c r="A18" s="0" t="s">
        <v>147</v>
      </c>
      <c r="B18" s="0" t="s">
        <v>215</v>
      </c>
      <c r="C18" s="0" t="s">
        <v>243</v>
      </c>
      <c r="D18" s="0" t="n">
        <v>0.3743</v>
      </c>
      <c r="E18" s="0" t="n">
        <v>167</v>
      </c>
      <c r="F18" s="0" t="n">
        <v>181</v>
      </c>
      <c r="G18" s="0" t="n">
        <v>200</v>
      </c>
      <c r="H18" s="0" t="n">
        <v>0.1229</v>
      </c>
      <c r="I18" s="0" t="n">
        <v>0.0154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5" min="4" style="0" width="11"/>
    <col collapsed="false" customWidth="true" hidden="false" outlineLevel="0" max="8" min="6" style="0" width="10"/>
  </cols>
  <sheetData>
    <row r="1" customFormat="false" ht="15" hidden="false" customHeight="false" outlineLevel="0" collapsed="false">
      <c r="A1" s="3" t="s">
        <v>244</v>
      </c>
    </row>
    <row r="3" customFormat="false" ht="15" hidden="false" customHeight="false" outlineLevel="0" collapsed="false">
      <c r="A3" s="3" t="s">
        <v>245</v>
      </c>
      <c r="B3" s="3" t="s">
        <v>246</v>
      </c>
      <c r="C3" s="3" t="s">
        <v>247</v>
      </c>
      <c r="D3" s="3" t="s">
        <v>248</v>
      </c>
      <c r="E3" s="3" t="s">
        <v>249</v>
      </c>
      <c r="F3" s="3" t="s">
        <v>250</v>
      </c>
      <c r="G3" s="3" t="s">
        <v>251</v>
      </c>
      <c r="H3" s="3" t="s">
        <v>252</v>
      </c>
    </row>
    <row r="4" customFormat="false" ht="15" hidden="false" customHeight="false" outlineLevel="0" collapsed="false">
      <c r="A4" s="0" t="s">
        <v>253</v>
      </c>
      <c r="B4" s="0" t="n">
        <v>0.624475104979004</v>
      </c>
      <c r="C4" s="0" t="n">
        <v>0.230399867426298</v>
      </c>
      <c r="D4" s="0" t="n">
        <v>0.657710373530937</v>
      </c>
      <c r="E4" s="0" t="n">
        <v>0.658584286174808</v>
      </c>
      <c r="F4" s="0" t="n">
        <v>0.439149635523631</v>
      </c>
      <c r="G4" s="0" t="n">
        <v>0.458716173443504</v>
      </c>
      <c r="H4" s="0" t="n">
        <v>24.929138961283</v>
      </c>
    </row>
    <row r="5" customFormat="false" ht="15" hidden="false" customHeight="false" outlineLevel="0" collapsed="false">
      <c r="A5" s="0" t="s">
        <v>254</v>
      </c>
      <c r="B5" s="0" t="n">
        <v>0.624475104979004</v>
      </c>
      <c r="C5" s="0" t="n">
        <v>0.226419200645674</v>
      </c>
      <c r="D5" s="0" t="n">
        <v>0.644208349599487</v>
      </c>
      <c r="E5" s="0" t="n">
        <v>0.646676997808103</v>
      </c>
      <c r="F5" s="0" t="n">
        <v>0.399177526554043</v>
      </c>
      <c r="G5" s="0" t="n">
        <v>0.437011699879338</v>
      </c>
      <c r="H5" s="0" t="n">
        <v>24.33491135529</v>
      </c>
    </row>
    <row r="6" customFormat="false" ht="15" hidden="false" customHeight="false" outlineLevel="0" collapsed="false">
      <c r="A6" s="0" t="s">
        <v>255</v>
      </c>
      <c r="B6" s="0" t="n">
        <v>0.624475104979004</v>
      </c>
      <c r="C6" s="0" t="n">
        <v>0.224744238256175</v>
      </c>
      <c r="D6" s="0" t="n">
        <v>0.639391907670322</v>
      </c>
      <c r="E6" s="0" t="n">
        <v>0.642615202152026</v>
      </c>
      <c r="F6" s="0" t="n">
        <v>0.362265219699968</v>
      </c>
      <c r="G6" s="0" t="n">
        <v>0.416866944168467</v>
      </c>
      <c r="H6" s="0" t="n">
        <v>23.7704981109333</v>
      </c>
    </row>
    <row r="7" customFormat="false" ht="15" hidden="false" customHeight="false" outlineLevel="0" collapsed="false">
      <c r="A7" s="0" t="s">
        <v>256</v>
      </c>
      <c r="B7" s="0" t="n">
        <v>0.624475104979004</v>
      </c>
      <c r="C7" s="0" t="n">
        <v>0.224488243574193</v>
      </c>
      <c r="D7" s="0" t="n">
        <v>0.638942582768362</v>
      </c>
      <c r="E7" s="0" t="n">
        <v>0.642561788414222</v>
      </c>
      <c r="F7" s="0" t="n">
        <v>0.316137947790604</v>
      </c>
      <c r="G7" s="0" t="n">
        <v>0.391833683422914</v>
      </c>
      <c r="H7" s="0" t="n">
        <v>23.0384221286905</v>
      </c>
    </row>
    <row r="8" customFormat="false" ht="15" hidden="false" customHeight="false" outlineLevel="0" collapsed="false">
      <c r="A8" s="0" t="s">
        <v>257</v>
      </c>
      <c r="B8" s="0" t="n">
        <v>0.624475104979004</v>
      </c>
      <c r="C8" s="0" t="n">
        <v>0.224998113497989</v>
      </c>
      <c r="D8" s="0" t="n">
        <v>0.640349655403571</v>
      </c>
      <c r="E8" s="0" t="n">
        <v>0.644018843525322</v>
      </c>
      <c r="F8" s="0" t="n">
        <v>0.291423164100494</v>
      </c>
      <c r="G8" s="0" t="n">
        <v>0.378644823146216</v>
      </c>
      <c r="H8" s="0" t="n">
        <v>22.6324491320684</v>
      </c>
    </row>
    <row r="9" customFormat="false" ht="15" hidden="false" customHeight="false" outlineLevel="0" collapsed="false">
      <c r="A9" s="0" t="s">
        <v>258</v>
      </c>
      <c r="B9" s="0" t="n">
        <v>0.624475104979004</v>
      </c>
      <c r="C9" s="0" t="n">
        <v>0.226106381262451</v>
      </c>
      <c r="D9" s="0" t="n">
        <v>0.643126036280847</v>
      </c>
      <c r="E9" s="0" t="n">
        <v>0.64672132972571</v>
      </c>
      <c r="F9" s="0" t="n">
        <v>0.2634534841723</v>
      </c>
      <c r="G9" s="0" t="n">
        <v>0.364058067407925</v>
      </c>
      <c r="H9" s="0" t="n">
        <v>22.1628946278421</v>
      </c>
    </row>
    <row r="10" customFormat="false" ht="15" hidden="false" customHeight="false" outlineLevel="0" collapsed="false">
      <c r="A10" s="0" t="s">
        <v>259</v>
      </c>
      <c r="B10" s="0" t="n">
        <v>0.624475104979004</v>
      </c>
      <c r="C10" s="0" t="n">
        <v>0.224435441991416</v>
      </c>
      <c r="D10" s="0" t="n">
        <v>0.638546046566819</v>
      </c>
      <c r="E10" s="0" t="n">
        <v>0.641935246317418</v>
      </c>
    </row>
    <row r="11" customFormat="false" ht="15" hidden="false" customHeight="false" outlineLevel="0" collapsed="false">
      <c r="A11" s="0" t="s">
        <v>260</v>
      </c>
      <c r="B11" s="0" t="n">
        <v>0.624475104979004</v>
      </c>
      <c r="C11" s="0" t="n">
        <v>0.224448493569323</v>
      </c>
      <c r="D11" s="0" t="n">
        <v>0.638559717038317</v>
      </c>
      <c r="E11" s="0" t="n">
        <v>0.64187156594421</v>
      </c>
    </row>
    <row r="12" customFormat="false" ht="15" hidden="false" customHeight="false" outlineLevel="0" collapsed="false">
      <c r="A12" s="0" t="s">
        <v>261</v>
      </c>
      <c r="B12" s="0" t="n">
        <v>0.624475104979004</v>
      </c>
      <c r="C12" s="0" t="n">
        <v>0.225135855515642</v>
      </c>
      <c r="D12" s="0" t="n">
        <v>0.640421469839146</v>
      </c>
      <c r="E12" s="0" t="n">
        <v>0.643219887772885</v>
      </c>
    </row>
    <row r="13" customFormat="false" ht="15" hidden="false" customHeight="false" outlineLevel="0" collapsed="false">
      <c r="A13" s="0" t="s">
        <v>262</v>
      </c>
      <c r="B13" s="0" t="n">
        <v>0.624475104979004</v>
      </c>
      <c r="C13" s="0" t="n">
        <v>0.225479642720208</v>
      </c>
      <c r="D13" s="0" t="n">
        <v>0.641420327167316</v>
      </c>
      <c r="E13" s="0" t="n">
        <v>0.64405096867167</v>
      </c>
    </row>
    <row r="14" customFormat="false" ht="15" hidden="false" customHeight="false" outlineLevel="0" collapsed="false">
      <c r="A14" s="0" t="s">
        <v>263</v>
      </c>
      <c r="B14" s="0" t="n">
        <v>0.5</v>
      </c>
      <c r="C14" s="0" t="n">
        <v>0.25</v>
      </c>
      <c r="D14" s="0" t="n">
        <v>0.693147180559945</v>
      </c>
      <c r="E14" s="0" t="n">
        <v>0.693147180559945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5"/>
    <col collapsed="false" customWidth="true" hidden="false" outlineLevel="0" max="8" min="7" style="0" width="14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3" t="s">
        <v>264</v>
      </c>
    </row>
    <row r="3" customFormat="false" ht="15" hidden="false" customHeight="false" outlineLevel="0" collapsed="false">
      <c r="A3" s="3" t="s">
        <v>265</v>
      </c>
      <c r="B3" s="3" t="s">
        <v>266</v>
      </c>
      <c r="C3" s="3" t="s">
        <v>248</v>
      </c>
      <c r="D3" s="3" t="s">
        <v>247</v>
      </c>
      <c r="E3" s="3" t="s">
        <v>246</v>
      </c>
      <c r="F3" s="3" t="s">
        <v>267</v>
      </c>
      <c r="G3" s="3" t="s">
        <v>268</v>
      </c>
      <c r="H3" s="3" t="s">
        <v>269</v>
      </c>
      <c r="I3" s="3" t="s">
        <v>270</v>
      </c>
    </row>
    <row r="4" customFormat="false" ht="15" hidden="false" customHeight="false" outlineLevel="0" collapsed="false">
      <c r="A4" s="6" t="b">
        <f aca="false">FALSE()</f>
        <v>0</v>
      </c>
      <c r="B4" s="0" t="n">
        <v>0</v>
      </c>
      <c r="C4" s="0" t="n">
        <v>0.638942582768362</v>
      </c>
      <c r="D4" s="0" t="n">
        <v>0.224488243574193</v>
      </c>
      <c r="E4" s="0" t="n">
        <v>0.624475104979004</v>
      </c>
      <c r="F4" s="0" t="n">
        <v>0.616858541089383</v>
      </c>
      <c r="G4" s="0" t="n">
        <v>637</v>
      </c>
      <c r="H4" s="0" t="n">
        <v>0.626833595014967</v>
      </c>
      <c r="I4" s="0" t="n">
        <v>631</v>
      </c>
    </row>
    <row r="5" customFormat="false" ht="15" hidden="false" customHeight="false" outlineLevel="0" collapsed="false">
      <c r="A5" s="6" t="b">
        <f aca="false">FALSE()</f>
        <v>0</v>
      </c>
      <c r="B5" s="0" t="n">
        <v>0.1</v>
      </c>
      <c r="C5" s="0" t="n">
        <v>0.63889951710587</v>
      </c>
      <c r="D5" s="0" t="n">
        <v>0.224504138636712</v>
      </c>
      <c r="E5" s="0" t="n">
        <v>0.630473905218956</v>
      </c>
      <c r="F5" s="0" t="n">
        <v>0.616084351761184</v>
      </c>
      <c r="G5" s="0" t="n">
        <v>637</v>
      </c>
      <c r="H5" s="0" t="n">
        <v>0.625192836411224</v>
      </c>
      <c r="I5" s="0" t="n">
        <v>631</v>
      </c>
    </row>
    <row r="6" customFormat="false" ht="15" hidden="false" customHeight="false" outlineLevel="0" collapsed="false">
      <c r="A6" s="6" t="b">
        <f aca="false">FALSE()</f>
        <v>0</v>
      </c>
      <c r="B6" s="0" t="n">
        <v>0.2</v>
      </c>
      <c r="C6" s="0" t="n">
        <v>0.641207870515202</v>
      </c>
      <c r="D6" s="0" t="n">
        <v>0.225642962428843</v>
      </c>
      <c r="E6" s="0" t="n">
        <v>0.625674865026995</v>
      </c>
      <c r="F6" s="0" t="n">
        <v>0.618950205329454</v>
      </c>
      <c r="G6" s="0" t="n">
        <v>637</v>
      </c>
      <c r="H6" s="0" t="n">
        <v>0.625825083163014</v>
      </c>
      <c r="I6" s="0" t="n">
        <v>631</v>
      </c>
    </row>
    <row r="7" customFormat="false" ht="15" hidden="false" customHeight="false" outlineLevel="0" collapsed="false">
      <c r="A7" s="6" t="b">
        <f aca="false">FALSE()</f>
        <v>0</v>
      </c>
      <c r="B7" s="0" t="n">
        <v>0.3</v>
      </c>
      <c r="C7" s="0" t="n">
        <v>0.64587802611381</v>
      </c>
      <c r="D7" s="0" t="n">
        <v>0.227880335501769</v>
      </c>
      <c r="E7" s="0" t="n">
        <v>0.623875224955009</v>
      </c>
      <c r="F7" s="0" t="n">
        <v>0.625418310449509</v>
      </c>
      <c r="G7" s="0" t="n">
        <v>637</v>
      </c>
      <c r="H7" s="0" t="n">
        <v>0.628694914984074</v>
      </c>
      <c r="I7" s="0" t="n">
        <v>631</v>
      </c>
    </row>
    <row r="8" customFormat="false" ht="15" hidden="false" customHeight="false" outlineLevel="0" collapsed="false">
      <c r="A8" s="6" t="b">
        <f aca="false">FALSE()</f>
        <v>0</v>
      </c>
      <c r="B8" s="0" t="n">
        <v>0.5</v>
      </c>
      <c r="C8" s="0" t="n">
        <v>0.662283427440842</v>
      </c>
      <c r="D8" s="0" t="n">
        <v>0.235125530473225</v>
      </c>
      <c r="E8" s="0" t="n">
        <v>0.605878824235153</v>
      </c>
      <c r="F8" s="0" t="n">
        <v>0.64900092880292</v>
      </c>
      <c r="G8" s="0" t="n">
        <v>637</v>
      </c>
      <c r="H8" s="0" t="n">
        <v>0.641029986539249</v>
      </c>
      <c r="I8" s="0" t="n">
        <v>631</v>
      </c>
    </row>
    <row r="9" customFormat="false" ht="15" hidden="false" customHeight="false" outlineLevel="0" collapsed="false">
      <c r="A9" s="6" t="b">
        <f aca="false">TRUE()</f>
        <v>1</v>
      </c>
      <c r="B9" s="0" t="n">
        <v>0</v>
      </c>
      <c r="C9" s="0" t="n">
        <v>0.639143472523355</v>
      </c>
      <c r="D9" s="0" t="n">
        <v>0.224622216380167</v>
      </c>
      <c r="E9" s="0" t="n">
        <v>0.622675464907019</v>
      </c>
      <c r="F9" s="0" t="n">
        <v>0.616898412201347</v>
      </c>
      <c r="G9" s="0" t="n">
        <v>637</v>
      </c>
      <c r="H9" s="0" t="n">
        <v>0.627364313274196</v>
      </c>
      <c r="I9" s="0" t="n">
        <v>631</v>
      </c>
    </row>
    <row r="10" customFormat="false" ht="15" hidden="false" customHeight="false" outlineLevel="0" collapsed="false">
      <c r="A10" s="6" t="b">
        <f aca="false">TRUE()</f>
        <v>1</v>
      </c>
      <c r="B10" s="0" t="n">
        <v>0.1</v>
      </c>
      <c r="C10" s="0" t="n">
        <v>0.63915892353079</v>
      </c>
      <c r="D10" s="0" t="n">
        <v>0.224662918773505</v>
      </c>
      <c r="E10" s="0" t="n">
        <v>0.631073785242951</v>
      </c>
      <c r="F10" s="0" t="n">
        <v>0.616231291367182</v>
      </c>
      <c r="G10" s="0" t="n">
        <v>637</v>
      </c>
      <c r="H10" s="0" t="n">
        <v>0.625878146253288</v>
      </c>
      <c r="I10" s="0" t="n">
        <v>631</v>
      </c>
    </row>
    <row r="11" customFormat="false" ht="15" hidden="false" customHeight="false" outlineLevel="0" collapsed="false">
      <c r="A11" s="6" t="b">
        <f aca="false">TRUE()</f>
        <v>1</v>
      </c>
      <c r="B11" s="0" t="n">
        <v>0.2</v>
      </c>
      <c r="C11" s="0" t="n">
        <v>0.641521007124534</v>
      </c>
      <c r="D11" s="0" t="n">
        <v>0.225821942957893</v>
      </c>
      <c r="E11" s="0" t="n">
        <v>0.626874625074985</v>
      </c>
      <c r="F11" s="0" t="n">
        <v>0.619193777809186</v>
      </c>
      <c r="G11" s="0" t="n">
        <v>637</v>
      </c>
      <c r="H11" s="0" t="n">
        <v>0.626652339466908</v>
      </c>
      <c r="I11" s="0" t="n">
        <v>631</v>
      </c>
    </row>
    <row r="12" customFormat="false" ht="15" hidden="false" customHeight="false" outlineLevel="0" collapsed="false">
      <c r="A12" s="6" t="b">
        <f aca="false">TRUE()</f>
        <v>1</v>
      </c>
      <c r="B12" s="0" t="n">
        <v>0.3</v>
      </c>
      <c r="C12" s="0" t="n">
        <v>0.646247402639395</v>
      </c>
      <c r="D12" s="0" t="n">
        <v>0.228076217830908</v>
      </c>
      <c r="E12" s="0" t="n">
        <v>0.625674865026995</v>
      </c>
      <c r="F12" s="0" t="n">
        <v>0.625760888431321</v>
      </c>
      <c r="G12" s="0" t="n">
        <v>637</v>
      </c>
      <c r="H12" s="0" t="n">
        <v>0.629670748055627</v>
      </c>
      <c r="I12" s="0" t="n">
        <v>631</v>
      </c>
    </row>
    <row r="13" customFormat="false" ht="15" hidden="false" customHeight="false" outlineLevel="0" collapsed="false">
      <c r="A13" s="6" t="b">
        <f aca="false">TRUE()</f>
        <v>1</v>
      </c>
      <c r="B13" s="0" t="n">
        <v>0.5</v>
      </c>
      <c r="C13" s="0" t="n">
        <v>0.662758899420277</v>
      </c>
      <c r="D13" s="0" t="n">
        <v>0.235336562488158</v>
      </c>
      <c r="E13" s="0" t="n">
        <v>0.607678464307139</v>
      </c>
      <c r="F13" s="0" t="n">
        <v>0.649526109652192</v>
      </c>
      <c r="G13" s="0" t="n">
        <v>637</v>
      </c>
      <c r="H13" s="0" t="n">
        <v>0.642286106649739</v>
      </c>
      <c r="I13" s="0" t="n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7"/>
  </cols>
  <sheetData>
    <row r="1" customFormat="false" ht="15" hidden="false" customHeight="false" outlineLevel="0" collapsed="false">
      <c r="A1" s="3" t="s">
        <v>271</v>
      </c>
    </row>
    <row r="3" customFormat="false" ht="15" hidden="false" customHeight="false" outlineLevel="0" collapsed="false">
      <c r="A3" s="3" t="s">
        <v>272</v>
      </c>
      <c r="B3" s="3" t="s">
        <v>273</v>
      </c>
      <c r="C3" s="3" t="s">
        <v>274</v>
      </c>
      <c r="D3" s="3" t="s">
        <v>275</v>
      </c>
      <c r="E3" s="3" t="s">
        <v>276</v>
      </c>
      <c r="F3" s="3" t="s">
        <v>277</v>
      </c>
      <c r="G3" s="3" t="s">
        <v>278</v>
      </c>
      <c r="H3" s="3" t="s">
        <v>279</v>
      </c>
      <c r="I3" s="3" t="s">
        <v>280</v>
      </c>
      <c r="J3" s="3" t="s">
        <v>281</v>
      </c>
    </row>
    <row r="4" customFormat="false" ht="15" hidden="false" customHeight="false" outlineLevel="0" collapsed="false">
      <c r="A4" s="0" t="s">
        <v>282</v>
      </c>
      <c r="B4" s="0" t="n">
        <v>1667</v>
      </c>
      <c r="C4" s="0" t="n">
        <v>0.362265219699968</v>
      </c>
      <c r="D4" s="0" t="n">
        <v>0.368326334733053</v>
      </c>
      <c r="E4" s="0" t="n">
        <v>0.416866944168467</v>
      </c>
      <c r="F4" s="0" t="n">
        <v>0.407318536292741</v>
      </c>
      <c r="G4" s="0" t="n">
        <v>23.7704981109333</v>
      </c>
      <c r="H4" s="0" t="n">
        <v>23.8320335932813</v>
      </c>
      <c r="I4" s="0" t="n">
        <v>0.478366057234725</v>
      </c>
      <c r="J4" s="0" t="n">
        <v>0.473905218956209</v>
      </c>
    </row>
    <row r="5" customFormat="false" ht="15" hidden="false" customHeight="false" outlineLevel="0" collapsed="false">
      <c r="A5" s="0" t="s">
        <v>283</v>
      </c>
      <c r="B5" s="0" t="n">
        <v>158</v>
      </c>
      <c r="C5" s="0" t="n">
        <v>0.375316638935827</v>
      </c>
      <c r="D5" s="0" t="n">
        <v>0.367088607594937</v>
      </c>
      <c r="E5" s="0" t="n">
        <v>0.581424969849694</v>
      </c>
      <c r="F5" s="0" t="n">
        <v>0.613924050632911</v>
      </c>
      <c r="G5" s="0" t="n">
        <v>25.3181346803992</v>
      </c>
      <c r="H5" s="0" t="n">
        <v>25.2721518987342</v>
      </c>
      <c r="I5" s="0" t="n">
        <v>0.570129239495105</v>
      </c>
      <c r="J5" s="0" t="n">
        <v>0.493670886075949</v>
      </c>
    </row>
    <row r="6" customFormat="false" ht="15" hidden="false" customHeight="false" outlineLevel="0" collapsed="false">
      <c r="A6" s="0" t="s">
        <v>284</v>
      </c>
      <c r="B6" s="0" t="n">
        <v>67</v>
      </c>
      <c r="C6" s="0" t="n">
        <v>0.392422315615075</v>
      </c>
      <c r="D6" s="0" t="n">
        <v>0.402985074626866</v>
      </c>
      <c r="E6" s="0" t="n">
        <v>0.63738911833083</v>
      </c>
      <c r="F6" s="0" t="n">
        <v>0.716417910447761</v>
      </c>
      <c r="G6" s="0" t="n">
        <v>25.9838990584175</v>
      </c>
      <c r="H6" s="0" t="n">
        <v>26.0746268656716</v>
      </c>
      <c r="I6" s="0" t="n">
        <v>0.615117666861587</v>
      </c>
      <c r="J6" s="0" t="n">
        <v>0.537313432835821</v>
      </c>
    </row>
    <row r="7" customFormat="false" ht="15" hidden="false" customHeight="false" outlineLevel="0" collapsed="false">
      <c r="A7" s="0" t="s">
        <v>285</v>
      </c>
      <c r="B7" s="0" t="n">
        <v>145</v>
      </c>
      <c r="C7" s="0" t="n">
        <v>0.393253632458056</v>
      </c>
      <c r="D7" s="0" t="n">
        <v>0.393103448275862</v>
      </c>
      <c r="E7" s="0" t="n">
        <v>0.571304951286207</v>
      </c>
      <c r="F7" s="0" t="n">
        <v>0.593103448275862</v>
      </c>
      <c r="G7" s="0" t="n">
        <v>25.4073862957</v>
      </c>
      <c r="H7" s="0" t="n">
        <v>25.4068965517241</v>
      </c>
      <c r="I7" s="0" t="n">
        <v>0.577934369756348</v>
      </c>
      <c r="J7" s="0" t="n">
        <v>0.531034482758621</v>
      </c>
    </row>
    <row r="8" customFormat="false" ht="15" hidden="false" customHeight="false" outlineLevel="0" collapsed="false">
      <c r="A8" s="0" t="s">
        <v>286</v>
      </c>
      <c r="B8" s="0" t="n">
        <v>555</v>
      </c>
      <c r="C8" s="0" t="n">
        <v>0.365434122153662</v>
      </c>
      <c r="D8" s="0" t="n">
        <v>0.372972972972973</v>
      </c>
      <c r="E8" s="0" t="n">
        <v>0.457471313218985</v>
      </c>
      <c r="F8" s="0" t="n">
        <v>0.430630630630631</v>
      </c>
      <c r="G8" s="0" t="n">
        <v>24.1495850156837</v>
      </c>
      <c r="H8" s="0" t="n">
        <v>24.1513513513514</v>
      </c>
      <c r="I8" s="0" t="n">
        <v>0.497789733800224</v>
      </c>
      <c r="J8" s="0" t="n">
        <v>0.488288288288288</v>
      </c>
    </row>
    <row r="9" customFormat="false" ht="15" hidden="false" customHeight="false" outlineLevel="0" collapsed="false">
      <c r="A9" s="0" t="s">
        <v>287</v>
      </c>
      <c r="B9" s="0" t="n">
        <v>440</v>
      </c>
      <c r="C9" s="0" t="n">
        <v>0.354771885533693</v>
      </c>
      <c r="D9" s="0" t="n">
        <v>0.347727272727273</v>
      </c>
      <c r="E9" s="0" t="n">
        <v>0.33344532916269</v>
      </c>
      <c r="F9" s="0" t="n">
        <v>0.304545454545455</v>
      </c>
      <c r="G9" s="0" t="n">
        <v>22.9750935188782</v>
      </c>
      <c r="H9" s="0" t="n">
        <v>22.9545454545455</v>
      </c>
      <c r="I9" s="0" t="n">
        <v>0.435597491752102</v>
      </c>
      <c r="J9" s="0" t="n">
        <v>0.420454545454545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3" t="s">
        <v>288</v>
      </c>
    </row>
    <row r="3" customFormat="false" ht="15" hidden="false" customHeight="false" outlineLevel="0" collapsed="false">
      <c r="A3" s="3" t="s">
        <v>272</v>
      </c>
      <c r="B3" s="3" t="s">
        <v>273</v>
      </c>
      <c r="C3" s="3" t="s">
        <v>274</v>
      </c>
      <c r="D3" s="3" t="s">
        <v>275</v>
      </c>
      <c r="E3" s="3" t="s">
        <v>276</v>
      </c>
      <c r="F3" s="3" t="s">
        <v>277</v>
      </c>
      <c r="G3" s="3" t="s">
        <v>278</v>
      </c>
      <c r="H3" s="3" t="s">
        <v>279</v>
      </c>
    </row>
    <row r="4" customFormat="false" ht="15" hidden="false" customHeight="false" outlineLevel="0" collapsed="false">
      <c r="A4" s="0" t="s">
        <v>282</v>
      </c>
      <c r="B4" s="0" t="n">
        <v>1667</v>
      </c>
      <c r="C4" s="0" t="n">
        <v>0.316137947790604</v>
      </c>
      <c r="D4" s="0" t="n">
        <v>0.368326334733053</v>
      </c>
      <c r="E4" s="0" t="n">
        <v>0.391833683422914</v>
      </c>
      <c r="F4" s="0" t="n">
        <v>0.407318536292741</v>
      </c>
      <c r="G4" s="0" t="n">
        <v>23.0384221286905</v>
      </c>
      <c r="H4" s="0" t="n">
        <v>23.8320335932813</v>
      </c>
    </row>
    <row r="5" customFormat="false" ht="15" hidden="false" customHeight="false" outlineLevel="0" collapsed="false">
      <c r="A5" s="0" t="s">
        <v>283</v>
      </c>
      <c r="B5" s="0" t="n">
        <v>158</v>
      </c>
      <c r="C5" s="0" t="n">
        <v>0.328311305391041</v>
      </c>
      <c r="D5" s="0" t="n">
        <v>0.367088607594937</v>
      </c>
      <c r="E5" s="0" t="n">
        <v>0.540438446360737</v>
      </c>
      <c r="F5" s="0" t="n">
        <v>0.613924050632911</v>
      </c>
      <c r="G5" s="0" t="n">
        <v>24.5191716111948</v>
      </c>
      <c r="H5" s="0" t="n">
        <v>25.2721518987342</v>
      </c>
    </row>
    <row r="6" customFormat="false" ht="15" hidden="false" customHeight="false" outlineLevel="0" collapsed="false">
      <c r="A6" s="0" t="s">
        <v>284</v>
      </c>
      <c r="B6" s="0" t="n">
        <v>67</v>
      </c>
      <c r="C6" s="0" t="n">
        <v>0.34039313113829</v>
      </c>
      <c r="D6" s="0" t="n">
        <v>0.402985074626866</v>
      </c>
      <c r="E6" s="0" t="n">
        <v>0.5884408964047</v>
      </c>
      <c r="F6" s="0" t="n">
        <v>0.716417910447761</v>
      </c>
      <c r="G6" s="0" t="n">
        <v>25.0890298745773</v>
      </c>
      <c r="H6" s="0" t="n">
        <v>26.0746268656716</v>
      </c>
    </row>
    <row r="7" customFormat="false" ht="15" hidden="false" customHeight="false" outlineLevel="0" collapsed="false">
      <c r="A7" s="0" t="s">
        <v>285</v>
      </c>
      <c r="B7" s="0" t="n">
        <v>176</v>
      </c>
      <c r="C7" s="0" t="n">
        <v>0.337082257803474</v>
      </c>
      <c r="D7" s="0" t="n">
        <v>0.380681818181818</v>
      </c>
      <c r="E7" s="0" t="n">
        <v>0.523787426217659</v>
      </c>
      <c r="F7" s="0" t="n">
        <v>0.556818181818182</v>
      </c>
      <c r="G7" s="0" t="n">
        <v>24.4561354039665</v>
      </c>
      <c r="H7" s="0" t="n">
        <v>25.0625</v>
      </c>
    </row>
    <row r="8" customFormat="false" ht="15" hidden="false" customHeight="false" outlineLevel="0" collapsed="false">
      <c r="A8" s="0" t="s">
        <v>287</v>
      </c>
      <c r="B8" s="0" t="n">
        <v>440</v>
      </c>
      <c r="C8" s="0" t="n">
        <v>0.309422161589758</v>
      </c>
      <c r="D8" s="0" t="n">
        <v>0.347727272727273</v>
      </c>
      <c r="E8" s="0" t="n">
        <v>0.315471844623638</v>
      </c>
      <c r="F8" s="0" t="n">
        <v>0.304545454545455</v>
      </c>
      <c r="G8" s="0" t="n">
        <v>22.2716996053852</v>
      </c>
      <c r="H8" s="0" t="n">
        <v>22.9545454545455</v>
      </c>
    </row>
    <row r="9" customFormat="false" ht="15" hidden="false" customHeight="false" outlineLevel="0" collapsed="false">
      <c r="A9" s="0" t="s">
        <v>289</v>
      </c>
      <c r="B9" s="0" t="n">
        <v>1069</v>
      </c>
      <c r="C9" s="0" t="n">
        <v>0.317102920126903</v>
      </c>
      <c r="D9" s="0" t="n">
        <v>0.376987839101964</v>
      </c>
      <c r="E9" s="0" t="n">
        <v>0.401300153514126</v>
      </c>
      <c r="F9" s="0" t="n">
        <v>0.419083255378859</v>
      </c>
      <c r="G9" s="0" t="n">
        <v>23.1351475655647</v>
      </c>
      <c r="H9" s="0" t="n">
        <v>23.9803554724041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</cols>
  <sheetData>
    <row r="1" customFormat="false" ht="15" hidden="false" customHeight="false" outlineLevel="0" collapsed="false">
      <c r="A1" s="3" t="s">
        <v>290</v>
      </c>
    </row>
    <row r="3" customFormat="false" ht="15" hidden="false" customHeight="false" outlineLevel="0" collapsed="false">
      <c r="A3" s="3" t="s">
        <v>291</v>
      </c>
      <c r="B3" s="3" t="s">
        <v>273</v>
      </c>
      <c r="C3" s="3" t="s">
        <v>292</v>
      </c>
      <c r="D3" s="3" t="s">
        <v>293</v>
      </c>
    </row>
    <row r="4" customFormat="false" ht="15" hidden="false" customHeight="false" outlineLevel="0" collapsed="false">
      <c r="A4" s="0" t="s">
        <v>294</v>
      </c>
      <c r="B4" s="0" t="n">
        <v>167</v>
      </c>
      <c r="C4" s="0" t="n">
        <v>0.510397400386905</v>
      </c>
      <c r="D4" s="0" t="n">
        <v>0.467065868263473</v>
      </c>
    </row>
    <row r="5" customFormat="false" ht="15" hidden="false" customHeight="false" outlineLevel="0" collapsed="false">
      <c r="A5" s="0" t="s">
        <v>295</v>
      </c>
      <c r="B5" s="0" t="n">
        <v>167</v>
      </c>
      <c r="C5" s="0" t="n">
        <v>0.528196690561244</v>
      </c>
      <c r="D5" s="0" t="n">
        <v>0.532934131736527</v>
      </c>
    </row>
    <row r="6" customFormat="false" ht="15" hidden="false" customHeight="false" outlineLevel="0" collapsed="false">
      <c r="A6" s="0" t="s">
        <v>296</v>
      </c>
      <c r="B6" s="0" t="n">
        <v>166</v>
      </c>
      <c r="C6" s="0" t="n">
        <v>0.546324312150438</v>
      </c>
      <c r="D6" s="0" t="n">
        <v>0.487951807228916</v>
      </c>
    </row>
    <row r="7" customFormat="false" ht="15" hidden="false" customHeight="false" outlineLevel="0" collapsed="false">
      <c r="A7" s="0" t="s">
        <v>297</v>
      </c>
      <c r="B7" s="0" t="n">
        <v>167</v>
      </c>
      <c r="C7" s="0" t="n">
        <v>0.567997998061672</v>
      </c>
      <c r="D7" s="0" t="n">
        <v>0.62874251497006</v>
      </c>
    </row>
    <row r="8" customFormat="false" ht="15" hidden="false" customHeight="false" outlineLevel="0" collapsed="false">
      <c r="A8" s="0" t="s">
        <v>298</v>
      </c>
      <c r="B8" s="0" t="n">
        <v>167</v>
      </c>
      <c r="C8" s="0" t="n">
        <v>0.592465881216384</v>
      </c>
      <c r="D8" s="0" t="n">
        <v>0.622754491017964</v>
      </c>
    </row>
    <row r="9" customFormat="false" ht="15" hidden="false" customHeight="false" outlineLevel="0" collapsed="false">
      <c r="A9" s="0" t="s">
        <v>299</v>
      </c>
      <c r="B9" s="0" t="n">
        <v>166</v>
      </c>
      <c r="C9" s="0" t="n">
        <v>0.619190792000816</v>
      </c>
      <c r="D9" s="0" t="n">
        <v>0.644578313253012</v>
      </c>
    </row>
    <row r="10" customFormat="false" ht="15" hidden="false" customHeight="false" outlineLevel="0" collapsed="false">
      <c r="A10" s="0" t="s">
        <v>300</v>
      </c>
      <c r="B10" s="0" t="n">
        <v>167</v>
      </c>
      <c r="C10" s="0" t="n">
        <v>0.645776390024314</v>
      </c>
      <c r="D10" s="0" t="n">
        <v>0.646706586826347</v>
      </c>
    </row>
    <row r="11" customFormat="false" ht="15" hidden="false" customHeight="false" outlineLevel="0" collapsed="false">
      <c r="A11" s="0" t="s">
        <v>301</v>
      </c>
      <c r="B11" s="0" t="n">
        <v>166</v>
      </c>
      <c r="C11" s="0" t="n">
        <v>0.676889903816056</v>
      </c>
      <c r="D11" s="0" t="n">
        <v>0.644578313253012</v>
      </c>
    </row>
    <row r="12" customFormat="false" ht="15" hidden="false" customHeight="false" outlineLevel="0" collapsed="false">
      <c r="A12" s="0" t="s">
        <v>302</v>
      </c>
      <c r="B12" s="0" t="n">
        <v>167</v>
      </c>
      <c r="C12" s="0" t="n">
        <v>0.715027928929893</v>
      </c>
      <c r="D12" s="0" t="n">
        <v>0.754491017964072</v>
      </c>
    </row>
    <row r="13" customFormat="false" ht="15" hidden="false" customHeight="false" outlineLevel="0" collapsed="false">
      <c r="A13" s="0" t="s">
        <v>303</v>
      </c>
      <c r="B13" s="0" t="n">
        <v>167</v>
      </c>
      <c r="C13" s="0" t="n">
        <v>0.799782693514715</v>
      </c>
      <c r="D13" s="0" t="n">
        <v>0.81437125748503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1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" t="s">
        <v>304</v>
      </c>
    </row>
    <row r="3" customFormat="false" ht="15" hidden="false" customHeight="false" outlineLevel="0" collapsed="false">
      <c r="A3" s="3" t="s">
        <v>305</v>
      </c>
      <c r="B3" s="3" t="s">
        <v>148</v>
      </c>
      <c r="C3" s="3" t="s">
        <v>306</v>
      </c>
      <c r="D3" s="3" t="s">
        <v>102</v>
      </c>
      <c r="E3" s="3" t="s">
        <v>100</v>
      </c>
    </row>
    <row r="4" customFormat="false" ht="15" hidden="false" customHeight="false" outlineLevel="0" collapsed="false">
      <c r="A4" s="0" t="s">
        <v>307</v>
      </c>
      <c r="B4" s="0" t="s">
        <v>308</v>
      </c>
      <c r="C4" s="0" t="s">
        <v>309</v>
      </c>
      <c r="D4" s="0" t="s">
        <v>310</v>
      </c>
      <c r="E4" s="0" t="n">
        <v>0</v>
      </c>
    </row>
    <row r="5" customFormat="false" ht="15" hidden="false" customHeight="false" outlineLevel="0" collapsed="false">
      <c r="A5" s="0" t="s">
        <v>311</v>
      </c>
      <c r="B5" s="0" t="s">
        <v>312</v>
      </c>
      <c r="C5" s="0" t="s">
        <v>313</v>
      </c>
      <c r="D5" s="0" t="s">
        <v>314</v>
      </c>
    </row>
    <row r="6" customFormat="false" ht="15" hidden="false" customHeight="false" outlineLevel="0" collapsed="false">
      <c r="A6" s="0" t="s">
        <v>315</v>
      </c>
      <c r="B6" s="0" t="s">
        <v>316</v>
      </c>
      <c r="C6" s="0" t="s">
        <v>317</v>
      </c>
      <c r="D6" s="0" t="s">
        <v>318</v>
      </c>
    </row>
    <row r="7" customFormat="false" ht="15" hidden="false" customHeight="false" outlineLevel="0" collapsed="false">
      <c r="A7" s="0" t="s">
        <v>319</v>
      </c>
      <c r="B7" s="0" t="s">
        <v>320</v>
      </c>
      <c r="C7" s="0" t="s">
        <v>321</v>
      </c>
      <c r="D7" s="0" t="s">
        <v>322</v>
      </c>
    </row>
    <row r="8" customFormat="false" ht="15" hidden="false" customHeight="false" outlineLevel="0" collapsed="false">
      <c r="A8" s="0" t="s">
        <v>323</v>
      </c>
      <c r="B8" s="0" t="s">
        <v>324</v>
      </c>
      <c r="C8" s="0" t="s">
        <v>325</v>
      </c>
      <c r="D8" s="0" t="s">
        <v>326</v>
      </c>
    </row>
    <row r="9" customFormat="false" ht="15" hidden="false" customHeight="false" outlineLevel="0" collapsed="false">
      <c r="A9" s="0" t="s">
        <v>327</v>
      </c>
      <c r="B9" s="0" t="s">
        <v>328</v>
      </c>
      <c r="C9" s="0" t="s">
        <v>329</v>
      </c>
      <c r="D9" s="0" t="s">
        <v>330</v>
      </c>
    </row>
    <row r="10" customFormat="false" ht="15" hidden="false" customHeight="false" outlineLevel="0" collapsed="false">
      <c r="A10" s="0" t="s">
        <v>331</v>
      </c>
      <c r="B10" s="0" t="s">
        <v>332</v>
      </c>
      <c r="C10" s="0" t="s">
        <v>333</v>
      </c>
      <c r="D10" s="0" t="s">
        <v>334</v>
      </c>
    </row>
    <row r="11" customFormat="false" ht="15" hidden="false" customHeight="false" outlineLevel="0" collapsed="false">
      <c r="A11" s="0" t="s">
        <v>335</v>
      </c>
      <c r="B11" s="0" t="s">
        <v>336</v>
      </c>
      <c r="C11" s="0" t="s">
        <v>337</v>
      </c>
      <c r="D11" s="0" t="s">
        <v>338</v>
      </c>
    </row>
    <row r="12" customFormat="false" ht="15" hidden="false" customHeight="false" outlineLevel="0" collapsed="false">
      <c r="A12" s="0" t="s">
        <v>339</v>
      </c>
      <c r="B12" s="0" t="s">
        <v>340</v>
      </c>
      <c r="C12" s="0" t="s">
        <v>341</v>
      </c>
      <c r="D12" s="0" t="s">
        <v>342</v>
      </c>
    </row>
    <row r="13" customFormat="false" ht="15" hidden="false" customHeight="false" outlineLevel="0" collapsed="false">
      <c r="A13" s="0" t="s">
        <v>343</v>
      </c>
      <c r="B13" s="0" t="s">
        <v>344</v>
      </c>
      <c r="C13" s="0" t="s">
        <v>345</v>
      </c>
      <c r="D13" s="0" t="s">
        <v>346</v>
      </c>
    </row>
    <row r="14" customFormat="false" ht="15" hidden="false" customHeight="false" outlineLevel="0" collapsed="false">
      <c r="A14" s="0" t="s">
        <v>347</v>
      </c>
      <c r="B14" s="0" t="s">
        <v>348</v>
      </c>
      <c r="C14" s="0" t="s">
        <v>349</v>
      </c>
      <c r="D14" s="0" t="s">
        <v>350</v>
      </c>
    </row>
    <row r="15" customFormat="false" ht="15" hidden="false" customHeight="false" outlineLevel="0" collapsed="false">
      <c r="A15" s="0" t="s">
        <v>351</v>
      </c>
      <c r="B15" s="0" t="s">
        <v>352</v>
      </c>
      <c r="C15" s="0" t="s">
        <v>353</v>
      </c>
      <c r="D15" s="0" t="s">
        <v>354</v>
      </c>
    </row>
    <row r="16" customFormat="false" ht="15" hidden="false" customHeight="false" outlineLevel="0" collapsed="false">
      <c r="A16" s="0" t="s">
        <v>355</v>
      </c>
      <c r="B16" s="0" t="s">
        <v>356</v>
      </c>
      <c r="C16" s="0" t="s">
        <v>357</v>
      </c>
      <c r="D16" s="0" t="s">
        <v>358</v>
      </c>
    </row>
    <row r="17" customFormat="false" ht="15" hidden="false" customHeight="false" outlineLevel="0" collapsed="false">
      <c r="A17" s="0" t="s">
        <v>359</v>
      </c>
      <c r="B17" s="0" t="s">
        <v>360</v>
      </c>
      <c r="C17" s="0" t="s">
        <v>361</v>
      </c>
      <c r="D17" s="0" t="s">
        <v>362</v>
      </c>
    </row>
    <row r="18" customFormat="false" ht="15" hidden="false" customHeight="false" outlineLevel="0" collapsed="false">
      <c r="A18" s="0" t="s">
        <v>363</v>
      </c>
      <c r="B18" s="0" t="s">
        <v>364</v>
      </c>
      <c r="C18" s="0" t="s">
        <v>365</v>
      </c>
      <c r="D18" s="0" t="s">
        <v>366</v>
      </c>
    </row>
    <row r="19" customFormat="false" ht="15" hidden="false" customHeight="false" outlineLevel="0" collapsed="false">
      <c r="A19" s="0" t="s">
        <v>367</v>
      </c>
      <c r="B19" s="0" t="s">
        <v>368</v>
      </c>
      <c r="C19" s="0" t="s">
        <v>369</v>
      </c>
      <c r="D19" s="0" t="s">
        <v>370</v>
      </c>
    </row>
    <row r="20" customFormat="false" ht="15" hidden="false" customHeight="false" outlineLevel="0" collapsed="false">
      <c r="A20" s="0" t="s">
        <v>371</v>
      </c>
      <c r="B20" s="0" t="s">
        <v>372</v>
      </c>
      <c r="C20" s="0" t="s">
        <v>373</v>
      </c>
      <c r="D20" s="0" t="s">
        <v>374</v>
      </c>
    </row>
    <row r="21" customFormat="false" ht="15" hidden="false" customHeight="false" outlineLevel="0" collapsed="false">
      <c r="A21" s="0" t="s">
        <v>375</v>
      </c>
      <c r="B21" s="0" t="s">
        <v>376</v>
      </c>
      <c r="C21" s="0" t="s">
        <v>377</v>
      </c>
      <c r="D21" s="0" t="s">
        <v>378</v>
      </c>
    </row>
    <row r="22" customFormat="false" ht="15" hidden="false" customHeight="false" outlineLevel="0" collapsed="false">
      <c r="A22" s="0" t="s">
        <v>379</v>
      </c>
      <c r="B22" s="0" t="s">
        <v>380</v>
      </c>
      <c r="C22" s="0" t="s">
        <v>381</v>
      </c>
      <c r="D22" s="0" t="s">
        <v>382</v>
      </c>
    </row>
    <row r="23" customFormat="false" ht="15" hidden="false" customHeight="false" outlineLevel="0" collapsed="false">
      <c r="A23" s="0" t="s">
        <v>383</v>
      </c>
      <c r="B23" s="0" t="s">
        <v>384</v>
      </c>
      <c r="C23" s="0" t="s">
        <v>385</v>
      </c>
      <c r="D23" s="0" t="s">
        <v>386</v>
      </c>
    </row>
    <row r="24" customFormat="false" ht="15" hidden="false" customHeight="false" outlineLevel="0" collapsed="false">
      <c r="A24" s="0" t="s">
        <v>387</v>
      </c>
      <c r="B24" s="0" t="s">
        <v>388</v>
      </c>
      <c r="C24" s="0" t="s">
        <v>389</v>
      </c>
      <c r="D24" s="0" t="s">
        <v>390</v>
      </c>
    </row>
    <row r="25" customFormat="false" ht="15" hidden="false" customHeight="false" outlineLevel="0" collapsed="false">
      <c r="A25" s="0" t="s">
        <v>391</v>
      </c>
      <c r="B25" s="0" t="s">
        <v>392</v>
      </c>
      <c r="C25" s="0" t="s">
        <v>393</v>
      </c>
      <c r="D25" s="0" t="s">
        <v>394</v>
      </c>
    </row>
    <row r="26" customFormat="false" ht="15" hidden="false" customHeight="false" outlineLevel="0" collapsed="false">
      <c r="A26" s="0" t="s">
        <v>395</v>
      </c>
      <c r="B26" s="0" t="s">
        <v>396</v>
      </c>
      <c r="C26" s="0" t="s">
        <v>397</v>
      </c>
      <c r="D26" s="0" t="s">
        <v>398</v>
      </c>
    </row>
    <row r="27" customFormat="false" ht="15" hidden="false" customHeight="false" outlineLevel="0" collapsed="false">
      <c r="A27" s="0" t="s">
        <v>399</v>
      </c>
      <c r="B27" s="0" t="s">
        <v>400</v>
      </c>
      <c r="C27" s="0" t="s">
        <v>401</v>
      </c>
      <c r="D27" s="0" t="s">
        <v>402</v>
      </c>
    </row>
    <row r="28" customFormat="false" ht="15" hidden="false" customHeight="false" outlineLevel="0" collapsed="false">
      <c r="A28" s="0" t="s">
        <v>403</v>
      </c>
      <c r="B28" s="0" t="s">
        <v>404</v>
      </c>
      <c r="C28" s="0" t="s">
        <v>405</v>
      </c>
      <c r="D28" s="0" t="s">
        <v>406</v>
      </c>
    </row>
    <row r="29" customFormat="false" ht="15" hidden="false" customHeight="false" outlineLevel="0" collapsed="false">
      <c r="A29" s="0" t="s">
        <v>407</v>
      </c>
      <c r="B29" s="0" t="s">
        <v>408</v>
      </c>
      <c r="C29" s="0" t="s">
        <v>409</v>
      </c>
      <c r="D29" s="0" t="s">
        <v>410</v>
      </c>
    </row>
    <row r="30" customFormat="false" ht="15" hidden="false" customHeight="false" outlineLevel="0" collapsed="false">
      <c r="A30" s="0" t="s">
        <v>411</v>
      </c>
      <c r="B30" s="0" t="s">
        <v>412</v>
      </c>
      <c r="C30" s="0" t="s">
        <v>413</v>
      </c>
      <c r="D30" s="0" t="s">
        <v>414</v>
      </c>
    </row>
    <row r="31" customFormat="false" ht="15" hidden="false" customHeight="false" outlineLevel="0" collapsed="false">
      <c r="A31" s="0" t="s">
        <v>415</v>
      </c>
      <c r="B31" s="0" t="s">
        <v>416</v>
      </c>
      <c r="C31" s="0" t="s">
        <v>417</v>
      </c>
      <c r="D31" s="0" t="s">
        <v>418</v>
      </c>
    </row>
    <row r="32" customFormat="false" ht="15" hidden="false" customHeight="false" outlineLevel="0" collapsed="false">
      <c r="A32" s="0" t="s">
        <v>419</v>
      </c>
      <c r="B32" s="0" t="s">
        <v>420</v>
      </c>
      <c r="C32" s="0" t="s">
        <v>421</v>
      </c>
      <c r="D32" s="0" t="s">
        <v>422</v>
      </c>
    </row>
    <row r="33" customFormat="false" ht="15" hidden="false" customHeight="false" outlineLevel="0" collapsed="false">
      <c r="A33" s="0" t="s">
        <v>423</v>
      </c>
      <c r="B33" s="0" t="s">
        <v>424</v>
      </c>
      <c r="C33" s="0" t="s">
        <v>425</v>
      </c>
      <c r="D33" s="0" t="s">
        <v>426</v>
      </c>
    </row>
    <row r="34" customFormat="false" ht="15" hidden="false" customHeight="false" outlineLevel="0" collapsed="false">
      <c r="A34" s="0" t="s">
        <v>427</v>
      </c>
      <c r="B34" s="0" t="s">
        <v>428</v>
      </c>
      <c r="C34" s="0" t="s">
        <v>429</v>
      </c>
      <c r="D34" s="0" t="s">
        <v>430</v>
      </c>
    </row>
    <row r="35" customFormat="false" ht="15" hidden="false" customHeight="false" outlineLevel="0" collapsed="false">
      <c r="A35" s="0" t="s">
        <v>431</v>
      </c>
      <c r="B35" s="0" t="s">
        <v>432</v>
      </c>
      <c r="C35" s="0" t="s">
        <v>433</v>
      </c>
      <c r="D35" s="0" t="s">
        <v>434</v>
      </c>
    </row>
    <row r="36" customFormat="false" ht="15" hidden="false" customHeight="false" outlineLevel="0" collapsed="false">
      <c r="A36" s="0" t="s">
        <v>435</v>
      </c>
      <c r="B36" s="0" t="s">
        <v>436</v>
      </c>
      <c r="C36" s="0" t="s">
        <v>437</v>
      </c>
      <c r="D36" s="0" t="s">
        <v>438</v>
      </c>
    </row>
    <row r="37" customFormat="false" ht="15" hidden="false" customHeight="false" outlineLevel="0" collapsed="false">
      <c r="A37" s="0" t="s">
        <v>439</v>
      </c>
      <c r="B37" s="0" t="s">
        <v>440</v>
      </c>
      <c r="C37" s="0" t="s">
        <v>441</v>
      </c>
      <c r="D37" s="0" t="s">
        <v>442</v>
      </c>
    </row>
    <row r="38" customFormat="false" ht="15" hidden="false" customHeight="false" outlineLevel="0" collapsed="false">
      <c r="A38" s="0" t="s">
        <v>443</v>
      </c>
      <c r="B38" s="0" t="s">
        <v>444</v>
      </c>
      <c r="C38" s="0" t="s">
        <v>445</v>
      </c>
      <c r="D38" s="0" t="s">
        <v>446</v>
      </c>
    </row>
    <row r="39" customFormat="false" ht="15" hidden="false" customHeight="false" outlineLevel="0" collapsed="false">
      <c r="A39" s="0" t="s">
        <v>447</v>
      </c>
      <c r="B39" s="0" t="s">
        <v>448</v>
      </c>
      <c r="C39" s="0" t="s">
        <v>449</v>
      </c>
      <c r="D39" s="0" t="s">
        <v>450</v>
      </c>
    </row>
    <row r="40" customFormat="false" ht="15" hidden="false" customHeight="false" outlineLevel="0" collapsed="false">
      <c r="A40" s="0" t="s">
        <v>451</v>
      </c>
      <c r="B40" s="0" t="s">
        <v>408</v>
      </c>
      <c r="C40" s="0" t="s">
        <v>452</v>
      </c>
      <c r="D40" s="0" t="s">
        <v>453</v>
      </c>
    </row>
    <row r="41" customFormat="false" ht="15" hidden="false" customHeight="false" outlineLevel="0" collapsed="false">
      <c r="A41" s="0" t="s">
        <v>454</v>
      </c>
      <c r="B41" s="0" t="s">
        <v>412</v>
      </c>
      <c r="C41" s="0" t="s">
        <v>455</v>
      </c>
      <c r="D41" s="0" t="s">
        <v>425</v>
      </c>
    </row>
    <row r="42" customFormat="false" ht="15" hidden="false" customHeight="false" outlineLevel="0" collapsed="false">
      <c r="A42" s="0" t="s">
        <v>456</v>
      </c>
      <c r="B42" s="0" t="s">
        <v>457</v>
      </c>
      <c r="C42" s="0" t="s">
        <v>458</v>
      </c>
      <c r="D42" s="0" t="s">
        <v>459</v>
      </c>
    </row>
    <row r="43" customFormat="false" ht="15" hidden="false" customHeight="false" outlineLevel="0" collapsed="false">
      <c r="A43" s="0" t="s">
        <v>460</v>
      </c>
      <c r="B43" s="0" t="s">
        <v>461</v>
      </c>
      <c r="C43" s="0" t="s">
        <v>462</v>
      </c>
      <c r="D43" s="0" t="s">
        <v>463</v>
      </c>
    </row>
    <row r="44" customFormat="false" ht="15" hidden="false" customHeight="false" outlineLevel="0" collapsed="false">
      <c r="A44" s="0" t="s">
        <v>464</v>
      </c>
      <c r="B44" s="0" t="s">
        <v>465</v>
      </c>
      <c r="C44" s="0" t="s">
        <v>466</v>
      </c>
      <c r="D44" s="0" t="s">
        <v>467</v>
      </c>
    </row>
    <row r="45" customFormat="false" ht="15" hidden="false" customHeight="false" outlineLevel="0" collapsed="false">
      <c r="A45" s="0" t="s">
        <v>468</v>
      </c>
      <c r="B45" s="0" t="s">
        <v>469</v>
      </c>
      <c r="C45" s="0" t="s">
        <v>470</v>
      </c>
      <c r="D45" s="0" t="s">
        <v>471</v>
      </c>
    </row>
    <row r="46" customFormat="false" ht="15" hidden="false" customHeight="false" outlineLevel="0" collapsed="false">
      <c r="A46" s="0" t="s">
        <v>472</v>
      </c>
      <c r="B46" s="0" t="s">
        <v>473</v>
      </c>
      <c r="C46" s="0" t="s">
        <v>474</v>
      </c>
      <c r="D46" s="0" t="s">
        <v>475</v>
      </c>
    </row>
    <row r="47" customFormat="false" ht="15" hidden="false" customHeight="false" outlineLevel="0" collapsed="false">
      <c r="A47" s="0" t="s">
        <v>476</v>
      </c>
      <c r="B47" s="0" t="s">
        <v>477</v>
      </c>
      <c r="C47" s="0" t="s">
        <v>478</v>
      </c>
      <c r="D47" s="0" t="s">
        <v>479</v>
      </c>
    </row>
    <row r="48" customFormat="false" ht="15" hidden="false" customHeight="false" outlineLevel="0" collapsed="false">
      <c r="A48" s="0" t="s">
        <v>480</v>
      </c>
      <c r="B48" s="0" t="s">
        <v>481</v>
      </c>
      <c r="C48" s="0" t="s">
        <v>482</v>
      </c>
      <c r="D48" s="0" t="s">
        <v>483</v>
      </c>
    </row>
    <row r="49" customFormat="false" ht="15" hidden="false" customHeight="false" outlineLevel="0" collapsed="false">
      <c r="A49" s="0" t="s">
        <v>484</v>
      </c>
      <c r="B49" s="0" t="s">
        <v>485</v>
      </c>
      <c r="C49" s="0" t="s">
        <v>486</v>
      </c>
      <c r="D49" s="0" t="s">
        <v>487</v>
      </c>
    </row>
    <row r="50" customFormat="false" ht="15" hidden="false" customHeight="false" outlineLevel="0" collapsed="false">
      <c r="A50" s="0" t="s">
        <v>488</v>
      </c>
      <c r="B50" s="0" t="s">
        <v>489</v>
      </c>
      <c r="C50" s="0" t="s">
        <v>490</v>
      </c>
      <c r="D50" s="0" t="s">
        <v>491</v>
      </c>
    </row>
    <row r="51" customFormat="false" ht="15" hidden="false" customHeight="false" outlineLevel="0" collapsed="false">
      <c r="A51" s="0" t="s">
        <v>492</v>
      </c>
      <c r="B51" s="0" t="s">
        <v>493</v>
      </c>
      <c r="C51" s="0" t="s">
        <v>494</v>
      </c>
      <c r="D51" s="0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6" min="6" style="0" width="11"/>
    <col collapsed="false" customWidth="true" hidden="false" outlineLevel="0" max="9" min="7" style="0" width="10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3" t="s">
        <v>496</v>
      </c>
    </row>
    <row r="3" customFormat="false" ht="15" hidden="false" customHeight="false" outlineLevel="0" collapsed="false">
      <c r="A3" s="3" t="s">
        <v>497</v>
      </c>
      <c r="B3" s="3" t="s">
        <v>498</v>
      </c>
      <c r="C3" s="3" t="s">
        <v>499</v>
      </c>
      <c r="D3" s="3" t="s">
        <v>500</v>
      </c>
      <c r="E3" s="3" t="s">
        <v>501</v>
      </c>
      <c r="F3" s="3" t="s">
        <v>502</v>
      </c>
      <c r="G3" s="3" t="s">
        <v>503</v>
      </c>
      <c r="H3" s="3" t="s">
        <v>504</v>
      </c>
      <c r="I3" s="3" t="s">
        <v>505</v>
      </c>
      <c r="J3" s="3" t="s">
        <v>506</v>
      </c>
      <c r="K3" s="3" t="s">
        <v>507</v>
      </c>
    </row>
    <row r="4" customFormat="false" ht="15" hidden="false" customHeight="false" outlineLevel="0" collapsed="false">
      <c r="A4" s="0" t="s">
        <v>100</v>
      </c>
      <c r="B4" s="0" t="s">
        <v>508</v>
      </c>
      <c r="C4" s="0" t="s">
        <v>509</v>
      </c>
      <c r="D4" s="0" t="n">
        <v>74</v>
      </c>
      <c r="E4" s="0" t="n">
        <v>0.7838</v>
      </c>
      <c r="F4" s="0" t="n">
        <v>0.6531</v>
      </c>
      <c r="G4" s="0" t="n">
        <v>0.1307</v>
      </c>
      <c r="H4" s="0" t="n">
        <v>96</v>
      </c>
      <c r="I4" s="0" t="n">
        <v>0.4062</v>
      </c>
      <c r="J4" s="0" t="n">
        <v>0.3944</v>
      </c>
      <c r="K4" s="0" t="n">
        <v>0.0119</v>
      </c>
    </row>
    <row r="5" customFormat="false" ht="15" hidden="false" customHeight="false" outlineLevel="0" collapsed="false">
      <c r="A5" s="0" t="s">
        <v>100</v>
      </c>
      <c r="B5" s="0" t="s">
        <v>510</v>
      </c>
      <c r="C5" s="0" t="s">
        <v>511</v>
      </c>
      <c r="D5" s="0" t="n">
        <v>72</v>
      </c>
      <c r="E5" s="0" t="n">
        <v>0.6944</v>
      </c>
      <c r="F5" s="0" t="n">
        <v>0.6475</v>
      </c>
      <c r="G5" s="0" t="n">
        <v>0.0469</v>
      </c>
      <c r="H5" s="0" t="n">
        <v>73</v>
      </c>
      <c r="I5" s="0" t="n">
        <v>0.3836</v>
      </c>
      <c r="J5" s="0" t="n">
        <v>0.3459</v>
      </c>
      <c r="K5" s="0" t="n">
        <v>0.0377</v>
      </c>
    </row>
    <row r="6" customFormat="false" ht="15" hidden="false" customHeight="false" outlineLevel="0" collapsed="false">
      <c r="A6" s="0" t="s">
        <v>100</v>
      </c>
      <c r="B6" s="0" t="s">
        <v>512</v>
      </c>
      <c r="C6" s="0" t="s">
        <v>513</v>
      </c>
      <c r="D6" s="0" t="n">
        <v>83</v>
      </c>
      <c r="E6" s="0" t="n">
        <v>0.6627</v>
      </c>
      <c r="F6" s="0" t="n">
        <v>0.6445</v>
      </c>
      <c r="G6" s="0" t="n">
        <v>0.0182</v>
      </c>
      <c r="H6" s="0" t="n">
        <v>84</v>
      </c>
      <c r="I6" s="0" t="n">
        <v>0.3929</v>
      </c>
      <c r="J6" s="0" t="n">
        <v>0.3258</v>
      </c>
      <c r="K6" s="0" t="n">
        <v>0.0671</v>
      </c>
    </row>
    <row r="7" customFormat="false" ht="15" hidden="false" customHeight="false" outlineLevel="0" collapsed="false">
      <c r="A7" s="0" t="s">
        <v>100</v>
      </c>
      <c r="B7" s="0" t="s">
        <v>514</v>
      </c>
      <c r="C7" s="0" t="s">
        <v>515</v>
      </c>
      <c r="D7" s="0" t="n">
        <v>75</v>
      </c>
      <c r="E7" s="0" t="n">
        <v>0.72</v>
      </c>
      <c r="F7" s="0" t="n">
        <v>0.6309</v>
      </c>
      <c r="G7" s="0" t="n">
        <v>0.0891</v>
      </c>
      <c r="H7" s="0" t="n">
        <v>69</v>
      </c>
      <c r="I7" s="0" t="n">
        <v>0.3043</v>
      </c>
      <c r="J7" s="0" t="n">
        <v>0.3611</v>
      </c>
      <c r="K7" s="0" t="n">
        <v>-0.0567</v>
      </c>
    </row>
    <row r="8" customFormat="false" ht="15" hidden="false" customHeight="false" outlineLevel="0" collapsed="false">
      <c r="A8" s="0" t="s">
        <v>102</v>
      </c>
      <c r="B8" s="0" t="s">
        <v>510</v>
      </c>
      <c r="C8" s="0" t="s">
        <v>516</v>
      </c>
      <c r="D8" s="0" t="n">
        <v>50</v>
      </c>
      <c r="E8" s="0" t="n">
        <v>0.66</v>
      </c>
      <c r="F8" s="0" t="n">
        <v>0.6459</v>
      </c>
      <c r="G8" s="0" t="n">
        <v>0.0141</v>
      </c>
      <c r="H8" s="0" t="n">
        <v>61</v>
      </c>
      <c r="I8" s="0" t="n">
        <v>0.5246</v>
      </c>
      <c r="J8" s="0" t="n">
        <v>0.3822</v>
      </c>
      <c r="K8" s="0" t="n">
        <v>0.1424</v>
      </c>
    </row>
    <row r="9" customFormat="false" ht="15" hidden="false" customHeight="false" outlineLevel="0" collapsed="false">
      <c r="A9" s="0" t="s">
        <v>102</v>
      </c>
      <c r="B9" s="0" t="s">
        <v>512</v>
      </c>
      <c r="C9" s="0" t="s">
        <v>517</v>
      </c>
      <c r="D9" s="0" t="n">
        <v>112</v>
      </c>
      <c r="E9" s="0" t="n">
        <v>0.7143</v>
      </c>
      <c r="F9" s="0" t="n">
        <v>0.6464</v>
      </c>
      <c r="G9" s="0" t="n">
        <v>0.0679</v>
      </c>
      <c r="H9" s="0" t="n">
        <v>115</v>
      </c>
      <c r="I9" s="0" t="n">
        <v>0.3043</v>
      </c>
      <c r="J9" s="0" t="n">
        <v>0.3575</v>
      </c>
      <c r="K9" s="0" t="n">
        <v>-0.0532</v>
      </c>
    </row>
    <row r="10" customFormat="false" ht="15" hidden="false" customHeight="false" outlineLevel="0" collapsed="false">
      <c r="A10" s="0" t="s">
        <v>102</v>
      </c>
      <c r="B10" s="0" t="s">
        <v>514</v>
      </c>
      <c r="C10" s="0" t="s">
        <v>518</v>
      </c>
      <c r="D10" s="0" t="n">
        <v>107</v>
      </c>
      <c r="E10" s="0" t="n">
        <v>0.6075</v>
      </c>
      <c r="F10" s="0" t="n">
        <v>0.6753</v>
      </c>
      <c r="G10" s="0" t="n">
        <v>-0.0678</v>
      </c>
      <c r="H10" s="0" t="n">
        <v>79</v>
      </c>
      <c r="I10" s="0" t="n">
        <v>0.2785</v>
      </c>
      <c r="J10" s="0" t="n">
        <v>0.3166</v>
      </c>
      <c r="K10" s="0" t="n">
        <v>-0.0381</v>
      </c>
    </row>
    <row r="11" customFormat="false" ht="15" hidden="false" customHeight="false" outlineLevel="0" collapsed="false">
      <c r="A11" s="0" t="s">
        <v>148</v>
      </c>
      <c r="B11" s="0" t="s">
        <v>510</v>
      </c>
      <c r="C11" s="0" t="s">
        <v>519</v>
      </c>
      <c r="D11" s="0" t="n">
        <v>60</v>
      </c>
      <c r="E11" s="0" t="n">
        <v>0.7833</v>
      </c>
      <c r="F11" s="0" t="n">
        <v>0.7278</v>
      </c>
      <c r="G11" s="0" t="n">
        <v>0.0556</v>
      </c>
      <c r="H11" s="0" t="n">
        <v>67</v>
      </c>
      <c r="I11" s="0" t="n">
        <v>0.3433</v>
      </c>
      <c r="J11" s="0" t="n">
        <v>0.3799</v>
      </c>
      <c r="K11" s="0" t="n">
        <v>-0.0366</v>
      </c>
    </row>
    <row r="12" customFormat="false" ht="15" hidden="false" customHeight="false" outlineLevel="0" collapsed="false">
      <c r="A12" s="0" t="s">
        <v>148</v>
      </c>
      <c r="B12" s="0" t="s">
        <v>512</v>
      </c>
      <c r="C12" s="0" t="s">
        <v>520</v>
      </c>
      <c r="D12" s="0" t="n">
        <v>98</v>
      </c>
      <c r="E12" s="0" t="n">
        <v>0.7449</v>
      </c>
      <c r="F12" s="0" t="n">
        <v>0.7384</v>
      </c>
      <c r="G12" s="0" t="n">
        <v>0.0065</v>
      </c>
      <c r="H12" s="0" t="n">
        <v>100</v>
      </c>
      <c r="I12" s="0" t="n">
        <v>0.31</v>
      </c>
      <c r="J12" s="0" t="n">
        <v>0.3534</v>
      </c>
      <c r="K12" s="0" t="n">
        <v>-0.0434</v>
      </c>
    </row>
    <row r="13" customFormat="false" ht="15" hidden="false" customHeight="false" outlineLevel="0" collapsed="false">
      <c r="A13" s="0" t="s">
        <v>148</v>
      </c>
      <c r="B13" s="0" t="s">
        <v>514</v>
      </c>
      <c r="C13" s="0" t="s">
        <v>521</v>
      </c>
      <c r="D13" s="0" t="n">
        <v>101</v>
      </c>
      <c r="E13" s="0" t="n">
        <v>0.7525</v>
      </c>
      <c r="F13" s="0" t="n">
        <v>0.7357</v>
      </c>
      <c r="G13" s="0" t="n">
        <v>0.0168</v>
      </c>
      <c r="H13" s="0" t="n">
        <v>123</v>
      </c>
      <c r="I13" s="0" t="n">
        <v>0.3415</v>
      </c>
      <c r="J13" s="0" t="n">
        <v>0.3363</v>
      </c>
      <c r="K13" s="0" t="n">
        <v>0.0051</v>
      </c>
    </row>
    <row r="14" customFormat="false" ht="15" hidden="false" customHeight="false" outlineLevel="0" collapsed="false">
      <c r="A14" s="0" t="s">
        <v>149</v>
      </c>
      <c r="B14" s="0" t="s">
        <v>512</v>
      </c>
      <c r="C14" s="0" t="s">
        <v>522</v>
      </c>
      <c r="D14" s="0" t="n">
        <v>64</v>
      </c>
      <c r="E14" s="0" t="n">
        <v>0.7969</v>
      </c>
      <c r="F14" s="0" t="n">
        <v>0.7161</v>
      </c>
      <c r="G14" s="0" t="n">
        <v>0.0808</v>
      </c>
      <c r="H14" s="0" t="n">
        <v>73</v>
      </c>
      <c r="I14" s="0" t="n">
        <v>0.3288</v>
      </c>
      <c r="J14" s="0" t="n">
        <v>0.382</v>
      </c>
      <c r="K14" s="0" t="n">
        <v>-0.0533</v>
      </c>
    </row>
    <row r="15" customFormat="false" ht="15" hidden="false" customHeight="false" outlineLevel="0" collapsed="false">
      <c r="A15" s="0" t="s">
        <v>149</v>
      </c>
      <c r="B15" s="0" t="s">
        <v>514</v>
      </c>
      <c r="C15" s="0" t="s">
        <v>523</v>
      </c>
      <c r="D15" s="0" t="n">
        <v>56</v>
      </c>
      <c r="E15" s="0" t="n">
        <v>0.75</v>
      </c>
      <c r="F15" s="0" t="n">
        <v>0.6577</v>
      </c>
      <c r="G15" s="0" t="n">
        <v>0.0923</v>
      </c>
      <c r="H15" s="0" t="n">
        <v>54</v>
      </c>
      <c r="I15" s="0" t="n">
        <v>0.3519</v>
      </c>
      <c r="J15" s="0" t="n">
        <v>0.3518</v>
      </c>
      <c r="K15" s="0" t="n">
        <v>0.0001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0"/>
  </cols>
  <sheetData>
    <row r="1" customFormat="false" ht="15" hidden="false" customHeight="false" outlineLevel="0" collapsed="false">
      <c r="A1" s="3" t="s">
        <v>524</v>
      </c>
    </row>
    <row r="3" customFormat="false" ht="15" hidden="false" customHeight="false" outlineLevel="0" collapsed="false">
      <c r="A3" s="3" t="s">
        <v>525</v>
      </c>
      <c r="B3" s="3" t="s">
        <v>499</v>
      </c>
      <c r="C3" s="3" t="s">
        <v>501</v>
      </c>
      <c r="D3" s="3" t="s">
        <v>526</v>
      </c>
      <c r="E3" s="3" t="s">
        <v>527</v>
      </c>
      <c r="F3" s="3" t="s">
        <v>528</v>
      </c>
      <c r="G3" s="3" t="s">
        <v>529</v>
      </c>
    </row>
    <row r="4" customFormat="false" ht="15" hidden="false" customHeight="false" outlineLevel="0" collapsed="false">
      <c r="A4" s="0" t="s">
        <v>530</v>
      </c>
      <c r="B4" s="0" t="s">
        <v>531</v>
      </c>
      <c r="C4" s="0" t="n">
        <v>0.842105263157895</v>
      </c>
      <c r="D4" s="0" t="n">
        <v>0.755815145805673</v>
      </c>
      <c r="E4" s="6" t="b">
        <f aca="false">TRUE()</f>
        <v>1</v>
      </c>
      <c r="F4" s="6" t="b">
        <f aca="false">FALSE()</f>
        <v>0</v>
      </c>
      <c r="G4" s="0" t="n">
        <v>0.0862901173522215</v>
      </c>
    </row>
    <row r="5" customFormat="false" ht="15" hidden="false" customHeight="false" outlineLevel="0" collapsed="false">
      <c r="A5" s="0" t="s">
        <v>530</v>
      </c>
      <c r="B5" s="0" t="s">
        <v>532</v>
      </c>
      <c r="C5" s="0" t="n">
        <v>0.909090909090909</v>
      </c>
      <c r="D5" s="0" t="n">
        <v>0.708488616041148</v>
      </c>
      <c r="E5" s="6" t="b">
        <f aca="false">TRUE()</f>
        <v>1</v>
      </c>
      <c r="F5" s="6" t="b">
        <f aca="false">FALSE()</f>
        <v>0</v>
      </c>
      <c r="G5" s="0" t="n">
        <v>0.200602293049762</v>
      </c>
    </row>
    <row r="6" customFormat="false" ht="15" hidden="false" customHeight="false" outlineLevel="0" collapsed="false">
      <c r="A6" s="0" t="s">
        <v>533</v>
      </c>
      <c r="B6" s="0" t="s">
        <v>534</v>
      </c>
      <c r="C6" s="0" t="n">
        <v>0.764705882352941</v>
      </c>
      <c r="D6" s="0" t="n">
        <v>0.745921399066219</v>
      </c>
      <c r="E6" s="6" t="b">
        <f aca="false">TRUE()</f>
        <v>1</v>
      </c>
      <c r="F6" s="6" t="b">
        <f aca="false">FALSE()</f>
        <v>0</v>
      </c>
      <c r="G6" s="0" t="n">
        <v>0.0187844832867226</v>
      </c>
    </row>
    <row r="7" customFormat="false" ht="15" hidden="false" customHeight="false" outlineLevel="0" collapsed="false">
      <c r="A7" s="0" t="s">
        <v>533</v>
      </c>
      <c r="B7" s="0" t="s">
        <v>535</v>
      </c>
      <c r="C7" s="0" t="n">
        <v>0.686046511627907</v>
      </c>
      <c r="D7" s="0" t="n">
        <v>0.689070398710824</v>
      </c>
      <c r="E7" s="6" t="b">
        <f aca="false">TRUE()</f>
        <v>1</v>
      </c>
      <c r="F7" s="6" t="b">
        <f aca="false">TRUE()</f>
        <v>1</v>
      </c>
      <c r="G7" s="0" t="n">
        <v>-0.0030238870829171</v>
      </c>
    </row>
    <row r="8" customFormat="false" ht="15" hidden="false" customHeight="false" outlineLevel="0" collapsed="false">
      <c r="A8" s="0" t="s">
        <v>533</v>
      </c>
      <c r="B8" s="0" t="s">
        <v>536</v>
      </c>
      <c r="C8" s="0" t="n">
        <v>0.770491803278689</v>
      </c>
      <c r="D8" s="0" t="n">
        <v>0.719896321722959</v>
      </c>
      <c r="E8" s="6" t="b">
        <f aca="false">TRUE()</f>
        <v>1</v>
      </c>
      <c r="F8" s="6" t="b">
        <f aca="false">FALSE()</f>
        <v>0</v>
      </c>
      <c r="G8" s="0" t="n">
        <v>0.0505954815557296</v>
      </c>
    </row>
    <row r="9" customFormat="false" ht="15" hidden="false" customHeight="false" outlineLevel="0" collapsed="false">
      <c r="A9" s="0" t="s">
        <v>533</v>
      </c>
      <c r="B9" s="0" t="s">
        <v>537</v>
      </c>
      <c r="C9" s="0" t="n">
        <v>0.746268656716418</v>
      </c>
      <c r="D9" s="0" t="n">
        <v>0.690326913540249</v>
      </c>
      <c r="E9" s="6" t="b">
        <f aca="false">TRUE()</f>
        <v>1</v>
      </c>
      <c r="F9" s="6" t="b">
        <f aca="false">FALSE()</f>
        <v>0</v>
      </c>
      <c r="G9" s="0" t="n">
        <v>0.0559417431761686</v>
      </c>
    </row>
    <row r="10" customFormat="false" ht="15" hidden="false" customHeight="false" outlineLevel="0" collapsed="false">
      <c r="A10" s="0" t="s">
        <v>533</v>
      </c>
      <c r="B10" s="0" t="s">
        <v>511</v>
      </c>
      <c r="C10" s="0" t="n">
        <v>0.864864864864865</v>
      </c>
      <c r="D10" s="0" t="n">
        <v>0.718444496685622</v>
      </c>
      <c r="E10" s="6" t="b">
        <f aca="false">TRUE()</f>
        <v>1</v>
      </c>
      <c r="F10" s="6" t="b">
        <f aca="false">FALSE()</f>
        <v>0</v>
      </c>
      <c r="G10" s="0" t="n">
        <v>0.146420368179243</v>
      </c>
    </row>
    <row r="11" customFormat="false" ht="15" hidden="false" customHeight="false" outlineLevel="0" collapsed="false">
      <c r="A11" s="0" t="s">
        <v>538</v>
      </c>
      <c r="B11" s="0" t="s">
        <v>539</v>
      </c>
      <c r="C11" s="0" t="n">
        <v>0.714285714285714</v>
      </c>
      <c r="D11" s="0" t="n">
        <v>0.633640180576233</v>
      </c>
      <c r="E11" s="6" t="b">
        <f aca="false">TRUE()</f>
        <v>1</v>
      </c>
      <c r="F11" s="6" t="b">
        <f aca="false">TRUE()</f>
        <v>1</v>
      </c>
      <c r="G11" s="0" t="n">
        <v>0.080645533709481</v>
      </c>
    </row>
    <row r="12" customFormat="false" ht="15" hidden="false" customHeight="false" outlineLevel="0" collapsed="false">
      <c r="A12" s="0" t="s">
        <v>538</v>
      </c>
      <c r="B12" s="0" t="s">
        <v>540</v>
      </c>
      <c r="C12" s="0" t="n">
        <v>0.819672131147541</v>
      </c>
      <c r="D12" s="0" t="n">
        <v>0.714011221297523</v>
      </c>
      <c r="E12" s="6" t="b">
        <f aca="false">TRUE()</f>
        <v>1</v>
      </c>
      <c r="F12" s="6" t="b">
        <f aca="false">FALSE()</f>
        <v>0</v>
      </c>
      <c r="G12" s="0" t="n">
        <v>0.105660909850018</v>
      </c>
    </row>
    <row r="13" customFormat="false" ht="15" hidden="false" customHeight="false" outlineLevel="0" collapsed="false">
      <c r="A13" s="0" t="s">
        <v>538</v>
      </c>
      <c r="B13" s="0" t="s">
        <v>541</v>
      </c>
      <c r="C13" s="0" t="n">
        <v>0.8</v>
      </c>
      <c r="D13" s="0" t="n">
        <v>0.70061806251093</v>
      </c>
      <c r="E13" s="6" t="b">
        <f aca="false">TRUE()</f>
        <v>1</v>
      </c>
      <c r="F13" s="6" t="b">
        <f aca="false">FALSE()</f>
        <v>0</v>
      </c>
      <c r="G13" s="0" t="n">
        <v>0.0993819374890698</v>
      </c>
    </row>
    <row r="14" customFormat="false" ht="15" hidden="false" customHeight="false" outlineLevel="0" collapsed="false">
      <c r="A14" s="0" t="s">
        <v>542</v>
      </c>
      <c r="B14" s="0" t="s">
        <v>543</v>
      </c>
      <c r="C14" s="0" t="n">
        <v>0.784313725490196</v>
      </c>
      <c r="D14" s="0" t="n">
        <v>0.772432815900858</v>
      </c>
      <c r="E14" s="6" t="b">
        <f aca="false">TRUE()</f>
        <v>1</v>
      </c>
      <c r="F14" s="6" t="b">
        <f aca="false">FALSE()</f>
        <v>0</v>
      </c>
      <c r="G14" s="0" t="n">
        <v>0.0118809095893385</v>
      </c>
    </row>
    <row r="15" customFormat="false" ht="15" hidden="false" customHeight="false" outlineLevel="0" collapsed="false">
      <c r="A15" s="0" t="s">
        <v>542</v>
      </c>
      <c r="B15" s="0" t="s">
        <v>544</v>
      </c>
      <c r="C15" s="0" t="n">
        <v>0.666666666666667</v>
      </c>
      <c r="D15" s="0" t="n">
        <v>0.76379874464513</v>
      </c>
      <c r="E15" s="6" t="b">
        <f aca="false">TRUE()</f>
        <v>1</v>
      </c>
      <c r="F15" s="6" t="b">
        <f aca="false">FALSE()</f>
        <v>0</v>
      </c>
      <c r="G15" s="0" t="n">
        <v>-0.0971320779784636</v>
      </c>
    </row>
    <row r="16" customFormat="false" ht="15" hidden="false" customHeight="false" outlineLevel="0" collapsed="false">
      <c r="A16" s="0" t="s">
        <v>545</v>
      </c>
      <c r="B16" s="0" t="s">
        <v>546</v>
      </c>
      <c r="C16" s="0" t="n">
        <v>0.738636363636364</v>
      </c>
      <c r="D16" s="0" t="n">
        <v>0.737367474992109</v>
      </c>
      <c r="E16" s="6" t="b">
        <f aca="false">TRUE()</f>
        <v>1</v>
      </c>
      <c r="F16" s="6" t="b">
        <f aca="false">FALSE()</f>
        <v>0</v>
      </c>
      <c r="G16" s="0" t="n">
        <v>0.0012688886442542</v>
      </c>
    </row>
    <row r="17" customFormat="false" ht="15" hidden="false" customHeight="false" outlineLevel="0" collapsed="false">
      <c r="A17" s="0" t="s">
        <v>545</v>
      </c>
      <c r="B17" s="0" t="s">
        <v>547</v>
      </c>
      <c r="C17" s="0" t="n">
        <v>0.726027397260274</v>
      </c>
      <c r="D17" s="0" t="n">
        <v>0.746251177543852</v>
      </c>
      <c r="E17" s="6" t="b">
        <f aca="false">TRUE()</f>
        <v>1</v>
      </c>
      <c r="F17" s="6" t="b">
        <f aca="false">FALSE()</f>
        <v>0</v>
      </c>
      <c r="G17" s="0" t="n">
        <v>-0.0202237802835777</v>
      </c>
    </row>
    <row r="18" customFormat="false" ht="15" hidden="false" customHeight="false" outlineLevel="0" collapsed="false">
      <c r="A18" s="0" t="s">
        <v>545</v>
      </c>
      <c r="B18" s="0" t="s">
        <v>548</v>
      </c>
      <c r="C18" s="0" t="n">
        <v>0.716049382716049</v>
      </c>
      <c r="D18" s="0" t="n">
        <v>0.702366091226255</v>
      </c>
      <c r="E18" s="6" t="b">
        <f aca="false">TRUE()</f>
        <v>1</v>
      </c>
      <c r="F18" s="6" t="b">
        <f aca="false">FALSE()</f>
        <v>0</v>
      </c>
      <c r="G18" s="0" t="n">
        <v>0.0136832914897943</v>
      </c>
    </row>
    <row r="19" customFormat="false" ht="15" hidden="false" customHeight="false" outlineLevel="0" collapsed="false">
      <c r="A19" s="0" t="s">
        <v>545</v>
      </c>
      <c r="B19" s="0" t="s">
        <v>511</v>
      </c>
      <c r="C19" s="0" t="n">
        <v>0.732558139534884</v>
      </c>
      <c r="D19" s="0" t="n">
        <v>0.718444496685622</v>
      </c>
      <c r="E19" s="6" t="b">
        <f aca="false">TRUE()</f>
        <v>1</v>
      </c>
      <c r="F19" s="6" t="b">
        <f aca="false">FALSE()</f>
        <v>0</v>
      </c>
      <c r="G19" s="0" t="n">
        <v>0.014113642849262</v>
      </c>
    </row>
    <row r="20" customFormat="false" ht="15" hidden="false" customHeight="false" outlineLevel="0" collapsed="false">
      <c r="A20" s="0" t="s">
        <v>545</v>
      </c>
      <c r="B20" s="0" t="s">
        <v>549</v>
      </c>
      <c r="C20" s="0" t="n">
        <v>0.659259259259259</v>
      </c>
      <c r="D20" s="0" t="n">
        <v>0.683794566904344</v>
      </c>
      <c r="E20" s="6" t="b">
        <f aca="false">TRUE()</f>
        <v>1</v>
      </c>
      <c r="F20" s="6" t="b">
        <f aca="false">TRUE()</f>
        <v>1</v>
      </c>
      <c r="G20" s="0" t="n">
        <v>-0.0245353076450849</v>
      </c>
    </row>
    <row r="21" customFormat="false" ht="15" hidden="false" customHeight="false" outlineLevel="0" collapsed="false">
      <c r="A21" s="0" t="s">
        <v>545</v>
      </c>
      <c r="B21" s="0" t="s">
        <v>550</v>
      </c>
      <c r="C21" s="0" t="n">
        <v>0.815789473684211</v>
      </c>
      <c r="D21" s="0" t="n">
        <v>0.681079677825919</v>
      </c>
      <c r="E21" s="6" t="b">
        <f aca="false">TRUE()</f>
        <v>1</v>
      </c>
      <c r="F21" s="6" t="b">
        <f aca="false">TRUE()</f>
        <v>1</v>
      </c>
      <c r="G21" s="0" t="n">
        <v>0.134709795858291</v>
      </c>
    </row>
    <row r="22" customFormat="false" ht="15" hidden="false" customHeight="false" outlineLevel="0" collapsed="false">
      <c r="A22" s="0" t="s">
        <v>551</v>
      </c>
      <c r="B22" s="0" t="s">
        <v>552</v>
      </c>
      <c r="C22" s="0" t="n">
        <v>0.714285714285714</v>
      </c>
      <c r="D22" s="0" t="n">
        <v>0.711531657127671</v>
      </c>
      <c r="E22" s="6" t="b">
        <f aca="false">TRUE()</f>
        <v>1</v>
      </c>
      <c r="F22" s="6" t="b">
        <f aca="false">FALSE()</f>
        <v>0</v>
      </c>
      <c r="G22" s="0" t="n">
        <v>0.0027540571580436</v>
      </c>
    </row>
    <row r="23" customFormat="false" ht="15" hidden="false" customHeight="false" outlineLevel="0" collapsed="false">
      <c r="A23" s="0" t="s">
        <v>553</v>
      </c>
      <c r="B23" s="0" t="s">
        <v>548</v>
      </c>
      <c r="C23" s="0" t="n">
        <v>0.775510204081633</v>
      </c>
      <c r="D23" s="0" t="n">
        <v>0.702366091226255</v>
      </c>
      <c r="E23" s="6" t="b">
        <f aca="false">TRUE()</f>
        <v>1</v>
      </c>
      <c r="F23" s="6" t="b">
        <f aca="false">FALSE()</f>
        <v>0</v>
      </c>
      <c r="G23" s="0" t="n">
        <v>0.0731441128553775</v>
      </c>
    </row>
    <row r="24" customFormat="false" ht="15" hidden="false" customHeight="false" outlineLevel="0" collapsed="false">
      <c r="A24" s="0" t="s">
        <v>553</v>
      </c>
      <c r="B24" s="0" t="s">
        <v>554</v>
      </c>
      <c r="C24" s="0" t="n">
        <v>0.763636363636364</v>
      </c>
      <c r="D24" s="0" t="n">
        <v>0.728800302811785</v>
      </c>
      <c r="E24" s="6" t="b">
        <f aca="false">TRUE()</f>
        <v>1</v>
      </c>
      <c r="F24" s="6" t="b">
        <f aca="false">FALSE()</f>
        <v>0</v>
      </c>
      <c r="G24" s="0" t="n">
        <v>0.0348360608245791</v>
      </c>
    </row>
    <row r="25" customFormat="false" ht="15" hidden="false" customHeight="false" outlineLevel="0" collapsed="false">
      <c r="A25" s="0" t="s">
        <v>555</v>
      </c>
      <c r="B25" s="0" t="s">
        <v>556</v>
      </c>
      <c r="C25" s="0" t="n">
        <v>0.786885245901639</v>
      </c>
      <c r="D25" s="0" t="n">
        <v>0.721760269689438</v>
      </c>
      <c r="E25" s="6" t="b">
        <f aca="false">TRUE()</f>
        <v>1</v>
      </c>
      <c r="F25" s="6" t="b">
        <f aca="false">FALSE()</f>
        <v>0</v>
      </c>
      <c r="G25" s="0" t="n">
        <v>0.0651249762122018</v>
      </c>
    </row>
    <row r="26" customFormat="false" ht="15" hidden="false" customHeight="false" outlineLevel="0" collapsed="false">
      <c r="A26" s="0" t="s">
        <v>555</v>
      </c>
      <c r="B26" s="0" t="s">
        <v>552</v>
      </c>
      <c r="C26" s="0" t="n">
        <v>0.69811320754717</v>
      </c>
      <c r="D26" s="0" t="n">
        <v>0.711531657127671</v>
      </c>
      <c r="E26" s="6" t="b">
        <f aca="false">TRUE()</f>
        <v>1</v>
      </c>
      <c r="F26" s="6" t="b">
        <f aca="false">FALSE()</f>
        <v>0</v>
      </c>
      <c r="G26" s="0" t="n">
        <v>-0.0134184495805008</v>
      </c>
    </row>
    <row r="27" customFormat="false" ht="15" hidden="false" customHeight="false" outlineLevel="0" collapsed="false">
      <c r="A27" s="0" t="s">
        <v>555</v>
      </c>
      <c r="B27" s="0" t="s">
        <v>557</v>
      </c>
      <c r="C27" s="0" t="n">
        <v>0.655172413793103</v>
      </c>
      <c r="D27" s="0" t="n">
        <v>0.679039108379608</v>
      </c>
      <c r="E27" s="6" t="b">
        <f aca="false">TRUE()</f>
        <v>1</v>
      </c>
      <c r="F27" s="6" t="b">
        <f aca="false">TRUE()</f>
        <v>1</v>
      </c>
      <c r="G27" s="0" t="n">
        <v>-0.023866694586504</v>
      </c>
    </row>
    <row r="28" customFormat="false" ht="15" hidden="false" customHeight="false" outlineLevel="0" collapsed="false">
      <c r="A28" s="0" t="s">
        <v>555</v>
      </c>
      <c r="B28" s="0" t="s">
        <v>558</v>
      </c>
      <c r="C28" s="0" t="n">
        <v>0.72</v>
      </c>
      <c r="D28" s="0" t="n">
        <v>0.732880501589008</v>
      </c>
      <c r="E28" s="6" t="b">
        <f aca="false">TRUE()</f>
        <v>1</v>
      </c>
      <c r="F28" s="6" t="b">
        <f aca="false">FALSE()</f>
        <v>0</v>
      </c>
      <c r="G28" s="0" t="n">
        <v>-0.0128805015890076</v>
      </c>
    </row>
    <row r="29" customFormat="false" ht="15" hidden="false" customHeight="false" outlineLevel="0" collapsed="false">
      <c r="A29" s="0" t="s">
        <v>559</v>
      </c>
      <c r="B29" s="0" t="s">
        <v>560</v>
      </c>
      <c r="C29" s="0" t="n">
        <v>0.72</v>
      </c>
      <c r="D29" s="0" t="n">
        <v>0.725335634649558</v>
      </c>
      <c r="E29" s="6" t="b">
        <f aca="false">TRUE()</f>
        <v>1</v>
      </c>
      <c r="F29" s="6" t="b">
        <f aca="false">FALSE()</f>
        <v>0</v>
      </c>
      <c r="G29" s="0" t="n">
        <v>-0.0053356346495584</v>
      </c>
    </row>
    <row r="30" customFormat="false" ht="15" hidden="false" customHeight="false" outlineLevel="0" collapsed="false">
      <c r="A30" s="0" t="s">
        <v>559</v>
      </c>
      <c r="B30" s="0" t="s">
        <v>561</v>
      </c>
      <c r="C30" s="0" t="n">
        <v>0.704918032786885</v>
      </c>
      <c r="D30" s="0" t="n">
        <v>0.71999841214825</v>
      </c>
      <c r="E30" s="6" t="b">
        <f aca="false">TRUE()</f>
        <v>1</v>
      </c>
      <c r="F30" s="6" t="b">
        <f aca="false">FALSE()</f>
        <v>0</v>
      </c>
      <c r="G30" s="0" t="n">
        <v>-0.0150803793613647</v>
      </c>
    </row>
    <row r="31" customFormat="false" ht="15" hidden="false" customHeight="false" outlineLevel="0" collapsed="false">
      <c r="A31" s="0" t="s">
        <v>559</v>
      </c>
      <c r="B31" s="0" t="s">
        <v>523</v>
      </c>
      <c r="C31" s="0" t="n">
        <v>0.705882352941177</v>
      </c>
      <c r="D31" s="0" t="n">
        <v>0.701198692139403</v>
      </c>
      <c r="E31" s="6" t="b">
        <f aca="false">TRUE()</f>
        <v>1</v>
      </c>
      <c r="F31" s="6" t="b">
        <f aca="false">FALSE()</f>
        <v>0</v>
      </c>
      <c r="G31" s="0" t="n">
        <v>0.0046836608017736</v>
      </c>
    </row>
    <row r="32" customFormat="false" ht="15" hidden="false" customHeight="false" outlineLevel="0" collapsed="false">
      <c r="A32" s="0" t="s">
        <v>559</v>
      </c>
      <c r="B32" s="0" t="s">
        <v>513</v>
      </c>
      <c r="C32" s="0" t="n">
        <v>0.714285714285714</v>
      </c>
      <c r="D32" s="0" t="n">
        <v>0.715432953125367</v>
      </c>
      <c r="E32" s="6" t="b">
        <f aca="false">TRUE()</f>
        <v>1</v>
      </c>
      <c r="F32" s="6" t="b">
        <f aca="false">FALSE()</f>
        <v>0</v>
      </c>
      <c r="G32" s="0" t="n">
        <v>-0.001147238839653</v>
      </c>
    </row>
    <row r="33" customFormat="false" ht="15" hidden="false" customHeight="false" outlineLevel="0" collapsed="false">
      <c r="A33" s="0" t="s">
        <v>562</v>
      </c>
      <c r="B33" s="0" t="s">
        <v>563</v>
      </c>
      <c r="C33" s="0" t="n">
        <v>0.74</v>
      </c>
      <c r="D33" s="0" t="n">
        <v>0.725711667299653</v>
      </c>
      <c r="E33" s="6" t="b">
        <f aca="false">TRUE()</f>
        <v>1</v>
      </c>
      <c r="F33" s="6" t="b">
        <f aca="false">FALSE()</f>
        <v>0</v>
      </c>
      <c r="G33" s="0" t="n">
        <v>0.0142883327003474</v>
      </c>
    </row>
    <row r="34" customFormat="false" ht="15" hidden="false" customHeight="false" outlineLevel="0" collapsed="false">
      <c r="A34" s="0" t="s">
        <v>562</v>
      </c>
      <c r="B34" s="0" t="s">
        <v>548</v>
      </c>
      <c r="C34" s="0" t="n">
        <v>0.617647058823529</v>
      </c>
      <c r="D34" s="0" t="n">
        <v>0.702366091226255</v>
      </c>
      <c r="E34" s="6" t="b">
        <f aca="false">TRUE()</f>
        <v>1</v>
      </c>
      <c r="F34" s="6" t="b">
        <f aca="false">FALSE()</f>
        <v>0</v>
      </c>
      <c r="G34" s="0" t="n">
        <v>-0.0847190324027256</v>
      </c>
    </row>
    <row r="35" customFormat="false" ht="15" hidden="false" customHeight="false" outlineLevel="0" collapsed="false">
      <c r="A35" s="0" t="s">
        <v>564</v>
      </c>
      <c r="B35" s="0" t="s">
        <v>565</v>
      </c>
      <c r="C35" s="0" t="n">
        <v>0.76</v>
      </c>
      <c r="D35" s="0" t="n">
        <v>0.71998447109843</v>
      </c>
      <c r="E35" s="6" t="b">
        <f aca="false">TRUE()</f>
        <v>1</v>
      </c>
      <c r="F35" s="6" t="b">
        <f aca="false">FALSE()</f>
        <v>0</v>
      </c>
      <c r="G35" s="0" t="n">
        <v>0.0400155289015699</v>
      </c>
    </row>
    <row r="36" customFormat="false" ht="15" hidden="false" customHeight="false" outlineLevel="0" collapsed="false">
      <c r="A36" s="0" t="s">
        <v>564</v>
      </c>
      <c r="B36" s="0" t="s">
        <v>566</v>
      </c>
      <c r="C36" s="0" t="n">
        <v>0.6</v>
      </c>
      <c r="D36" s="0" t="n">
        <v>0.682340405011111</v>
      </c>
      <c r="E36" s="6" t="b">
        <f aca="false">TRUE()</f>
        <v>1</v>
      </c>
      <c r="F36" s="6" t="b">
        <f aca="false">TRUE()</f>
        <v>1</v>
      </c>
      <c r="G36" s="0" t="n">
        <v>-0.0823404050111112</v>
      </c>
    </row>
    <row r="37" customFormat="false" ht="15" hidden="false" customHeight="false" outlineLevel="0" collapsed="false">
      <c r="A37" s="0" t="s">
        <v>564</v>
      </c>
      <c r="B37" s="0" t="s">
        <v>567</v>
      </c>
      <c r="C37" s="0" t="n">
        <v>0.721311475409836</v>
      </c>
      <c r="D37" s="0" t="n">
        <v>0.736396021224828</v>
      </c>
      <c r="E37" s="6" t="b">
        <f aca="false">TRUE()</f>
        <v>1</v>
      </c>
      <c r="F37" s="6" t="b">
        <f aca="false">FALSE()</f>
        <v>0</v>
      </c>
      <c r="G37" s="0" t="n">
        <v>-0.0150845458149915</v>
      </c>
    </row>
    <row r="38" customFormat="false" ht="15" hidden="false" customHeight="false" outlineLevel="0" collapsed="false">
      <c r="A38" s="0" t="s">
        <v>568</v>
      </c>
      <c r="B38" s="0" t="s">
        <v>548</v>
      </c>
      <c r="C38" s="0" t="n">
        <v>0.725</v>
      </c>
      <c r="D38" s="0" t="n">
        <v>0.702366091226255</v>
      </c>
      <c r="E38" s="6" t="b">
        <f aca="false">TRUE()</f>
        <v>1</v>
      </c>
      <c r="F38" s="6" t="b">
        <f aca="false">FALSE()</f>
        <v>0</v>
      </c>
      <c r="G38" s="0" t="n">
        <v>0.0226339087737449</v>
      </c>
    </row>
    <row r="39" customFormat="false" ht="15" hidden="false" customHeight="false" outlineLevel="0" collapsed="false">
      <c r="A39" s="0" t="s">
        <v>568</v>
      </c>
      <c r="B39" s="0" t="s">
        <v>552</v>
      </c>
      <c r="C39" s="0" t="n">
        <v>0.773584905660377</v>
      </c>
      <c r="D39" s="0" t="n">
        <v>0.711531657127671</v>
      </c>
      <c r="E39" s="6" t="b">
        <f aca="false">TRUE()</f>
        <v>1</v>
      </c>
      <c r="F39" s="6" t="b">
        <f aca="false">FALSE()</f>
        <v>0</v>
      </c>
      <c r="G39" s="0" t="n">
        <v>0.0620532485327067</v>
      </c>
    </row>
    <row r="40" customFormat="false" ht="15" hidden="false" customHeight="false" outlineLevel="0" collapsed="false">
      <c r="A40" s="0" t="s">
        <v>568</v>
      </c>
      <c r="B40" s="0" t="s">
        <v>569</v>
      </c>
      <c r="C40" s="0" t="n">
        <v>0.758620689655172</v>
      </c>
      <c r="D40" s="0" t="n">
        <v>0.672554035982117</v>
      </c>
      <c r="E40" s="6" t="b">
        <f aca="false">TRUE()</f>
        <v>1</v>
      </c>
      <c r="F40" s="6" t="b">
        <f aca="false">TRUE()</f>
        <v>1</v>
      </c>
      <c r="G40" s="0" t="n">
        <v>0.0860666536730551</v>
      </c>
    </row>
    <row r="41" customFormat="false" ht="15" hidden="false" customHeight="false" outlineLevel="0" collapsed="false">
      <c r="A41" s="0" t="s">
        <v>570</v>
      </c>
      <c r="B41" s="0" t="s">
        <v>571</v>
      </c>
      <c r="C41" s="0" t="n">
        <v>0.75</v>
      </c>
      <c r="D41" s="0" t="n">
        <v>0.739295339689149</v>
      </c>
      <c r="E41" s="6" t="b">
        <f aca="false">TRUE()</f>
        <v>1</v>
      </c>
      <c r="F41" s="6" t="b">
        <f aca="false">FALSE()</f>
        <v>0</v>
      </c>
      <c r="G41" s="0" t="n">
        <v>0.0107046603108509</v>
      </c>
    </row>
    <row r="42" customFormat="false" ht="15" hidden="false" customHeight="false" outlineLevel="0" collapsed="false">
      <c r="A42" s="0" t="s">
        <v>570</v>
      </c>
      <c r="B42" s="0" t="s">
        <v>102</v>
      </c>
      <c r="C42" s="0" t="n">
        <v>0.68421052631579</v>
      </c>
      <c r="D42" s="0" t="n">
        <v>0.698481700945681</v>
      </c>
      <c r="E42" s="6" t="b">
        <f aca="false">TRUE()</f>
        <v>1</v>
      </c>
      <c r="F42" s="6" t="b">
        <f aca="false">FALSE()</f>
        <v>0</v>
      </c>
      <c r="G42" s="0" t="n">
        <v>-0.0142711746298919</v>
      </c>
    </row>
    <row r="43" customFormat="false" ht="15" hidden="false" customHeight="false" outlineLevel="0" collapsed="false">
      <c r="A43" s="0" t="s">
        <v>570</v>
      </c>
      <c r="B43" s="0" t="s">
        <v>572</v>
      </c>
      <c r="C43" s="0" t="n">
        <v>0.634408602150538</v>
      </c>
      <c r="D43" s="0" t="n">
        <v>0.666162110843883</v>
      </c>
      <c r="E43" s="6" t="b">
        <f aca="false">TRUE()</f>
        <v>1</v>
      </c>
      <c r="F43" s="6" t="b">
        <f aca="false">TRUE()</f>
        <v>1</v>
      </c>
      <c r="G43" s="0" t="n">
        <v>-0.0317535086933455</v>
      </c>
    </row>
    <row r="44" customFormat="false" ht="15" hidden="false" customHeight="false" outlineLevel="0" collapsed="false">
      <c r="A44" s="0" t="s">
        <v>573</v>
      </c>
      <c r="B44" s="0" t="s">
        <v>513</v>
      </c>
      <c r="C44" s="0" t="n">
        <v>0.814814814814815</v>
      </c>
      <c r="D44" s="0" t="n">
        <v>0.715432953125367</v>
      </c>
      <c r="E44" s="6" t="b">
        <f aca="false">TRUE()</f>
        <v>1</v>
      </c>
      <c r="F44" s="6" t="b">
        <f aca="false">FALSE()</f>
        <v>0</v>
      </c>
      <c r="G44" s="0" t="n">
        <v>0.0993818616894474</v>
      </c>
    </row>
    <row r="45" customFormat="false" ht="15" hidden="false" customHeight="false" outlineLevel="0" collapsed="false">
      <c r="A45" s="0" t="s">
        <v>574</v>
      </c>
      <c r="B45" s="0" t="s">
        <v>534</v>
      </c>
      <c r="C45" s="0" t="n">
        <v>0.791666666666667</v>
      </c>
      <c r="D45" s="0" t="n">
        <v>0.745921399066219</v>
      </c>
      <c r="E45" s="6" t="b">
        <f aca="false">TRUE()</f>
        <v>1</v>
      </c>
      <c r="F45" s="6" t="b">
        <f aca="false">FALSE()</f>
        <v>0</v>
      </c>
      <c r="G45" s="0" t="n">
        <v>0.0457452676004481</v>
      </c>
    </row>
    <row r="46" customFormat="false" ht="15" hidden="false" customHeight="false" outlineLevel="0" collapsed="false">
      <c r="A46" s="0" t="s">
        <v>575</v>
      </c>
      <c r="B46" s="0" t="s">
        <v>576</v>
      </c>
      <c r="C46" s="0" t="n">
        <v>0.729142</v>
      </c>
      <c r="D46" s="0" t="n">
        <v>0.689580099970721</v>
      </c>
      <c r="E46" s="6" t="b">
        <f aca="false">TRUE()</f>
        <v>1</v>
      </c>
      <c r="F46" s="6" t="b">
        <f aca="false">FALSE()</f>
        <v>0</v>
      </c>
      <c r="G46" s="0" t="n">
        <v>0.0395619000292791</v>
      </c>
    </row>
    <row r="47" customFormat="false" ht="15" hidden="false" customHeight="false" outlineLevel="0" collapsed="false">
      <c r="A47" s="0" t="s">
        <v>575</v>
      </c>
      <c r="B47" s="0" t="s">
        <v>557</v>
      </c>
      <c r="C47" s="0" t="n">
        <v>0.746465</v>
      </c>
      <c r="D47" s="0" t="n">
        <v>0.679039108379608</v>
      </c>
      <c r="E47" s="6" t="b">
        <f aca="false">TRUE()</f>
        <v>1</v>
      </c>
      <c r="F47" s="6" t="b">
        <f aca="false">TRUE()</f>
        <v>1</v>
      </c>
      <c r="G47" s="0" t="n">
        <v>0.0674258916203924</v>
      </c>
    </row>
    <row r="48" customFormat="false" ht="15" hidden="false" customHeight="false" outlineLevel="0" collapsed="false">
      <c r="A48" s="0" t="s">
        <v>575</v>
      </c>
      <c r="B48" s="0" t="s">
        <v>577</v>
      </c>
      <c r="C48" s="0" t="n">
        <v>0.707231</v>
      </c>
      <c r="D48" s="0" t="n">
        <v>0.709951664994774</v>
      </c>
      <c r="E48" s="6" t="b">
        <f aca="false">TRUE()</f>
        <v>1</v>
      </c>
      <c r="F48" s="6" t="b">
        <f aca="false">FALSE()</f>
        <v>0</v>
      </c>
      <c r="G48" s="0" t="n">
        <v>-0.0027206649947738</v>
      </c>
    </row>
    <row r="49" customFormat="false" ht="15" hidden="false" customHeight="false" outlineLevel="0" collapsed="false">
      <c r="A49" s="0" t="s">
        <v>575</v>
      </c>
      <c r="B49" s="0" t="s">
        <v>578</v>
      </c>
      <c r="C49" s="0" t="n">
        <v>0.685108</v>
      </c>
      <c r="D49" s="0" t="n">
        <v>0.726416814900916</v>
      </c>
      <c r="E49" s="6" t="b">
        <f aca="false">TRUE()</f>
        <v>1</v>
      </c>
      <c r="F49" s="6" t="b">
        <f aca="false">FALSE()</f>
        <v>0</v>
      </c>
      <c r="G49" s="0" t="n">
        <v>-0.0413088149009156</v>
      </c>
    </row>
    <row r="50" customFormat="false" ht="15" hidden="false" customHeight="false" outlineLevel="0" collapsed="false">
      <c r="A50" s="0" t="s">
        <v>575</v>
      </c>
      <c r="B50" s="0" t="s">
        <v>579</v>
      </c>
      <c r="C50" s="0" t="n">
        <v>0.765208</v>
      </c>
      <c r="D50" s="0" t="n">
        <v>0.735168089686934</v>
      </c>
      <c r="E50" s="6" t="b">
        <f aca="false">TRUE()</f>
        <v>1</v>
      </c>
      <c r="F50" s="6" t="b">
        <f aca="false">FALSE()</f>
        <v>0</v>
      </c>
      <c r="G50" s="0" t="n">
        <v>0.0300399103130664</v>
      </c>
    </row>
    <row r="51" customFormat="false" ht="15" hidden="false" customHeight="false" outlineLevel="0" collapsed="false">
      <c r="A51" s="0" t="s">
        <v>580</v>
      </c>
      <c r="B51" s="0" t="s">
        <v>566</v>
      </c>
      <c r="C51" s="0" t="n">
        <v>0.749688</v>
      </c>
      <c r="D51" s="0" t="n">
        <v>0.682340405011111</v>
      </c>
      <c r="E51" s="6" t="b">
        <f aca="false">TRUE()</f>
        <v>1</v>
      </c>
      <c r="F51" s="6" t="b">
        <f aca="false">TRUE()</f>
        <v>1</v>
      </c>
      <c r="G51" s="0" t="n">
        <v>0.0673475949888888</v>
      </c>
    </row>
    <row r="52" customFormat="false" ht="15" hidden="false" customHeight="false" outlineLevel="0" collapsed="false">
      <c r="A52" s="0" t="s">
        <v>581</v>
      </c>
      <c r="B52" s="0" t="s">
        <v>535</v>
      </c>
      <c r="C52" s="0" t="n">
        <v>0.7059</v>
      </c>
      <c r="D52" s="0" t="n">
        <v>0.689070398710824</v>
      </c>
      <c r="E52" s="6" t="b">
        <f aca="false">TRUE()</f>
        <v>1</v>
      </c>
      <c r="F52" s="6" t="b">
        <f aca="false">TRUE()</f>
        <v>1</v>
      </c>
      <c r="G52" s="0" t="n">
        <v>0.0168296012891759</v>
      </c>
    </row>
    <row r="53" customFormat="false" ht="15" hidden="false" customHeight="false" outlineLevel="0" collapsed="false">
      <c r="A53" s="0" t="s">
        <v>581</v>
      </c>
      <c r="B53" s="0" t="s">
        <v>517</v>
      </c>
      <c r="C53" s="0" t="n">
        <v>0.682702</v>
      </c>
      <c r="D53" s="0" t="n">
        <v>0.701159457823415</v>
      </c>
      <c r="E53" s="6" t="b">
        <f aca="false">TRUE()</f>
        <v>1</v>
      </c>
      <c r="F53" s="6" t="b">
        <f aca="false">FALSE()</f>
        <v>0</v>
      </c>
      <c r="G53" s="0" t="n">
        <v>-0.0184574578234147</v>
      </c>
    </row>
    <row r="54" customFormat="false" ht="15" hidden="false" customHeight="false" outlineLevel="0" collapsed="false">
      <c r="A54" s="0" t="s">
        <v>581</v>
      </c>
      <c r="B54" s="0" t="s">
        <v>561</v>
      </c>
      <c r="C54" s="0" t="n">
        <v>0.722414</v>
      </c>
      <c r="D54" s="0" t="n">
        <v>0.71999841214825</v>
      </c>
      <c r="E54" s="6" t="b">
        <f aca="false">TRUE()</f>
        <v>1</v>
      </c>
      <c r="F54" s="6" t="b">
        <f aca="false">FALSE()</f>
        <v>0</v>
      </c>
      <c r="G54" s="0" t="n">
        <v>0.00241558785175</v>
      </c>
    </row>
    <row r="55" customFormat="false" ht="15" hidden="false" customHeight="false" outlineLevel="0" collapsed="false">
      <c r="A55" s="0" t="s">
        <v>581</v>
      </c>
      <c r="B55" s="0" t="s">
        <v>582</v>
      </c>
      <c r="C55" s="0" t="n">
        <v>0.869748</v>
      </c>
      <c r="D55" s="0" t="n">
        <v>0.734583182590296</v>
      </c>
      <c r="E55" s="6" t="b">
        <f aca="false">TRUE()</f>
        <v>1</v>
      </c>
      <c r="F55" s="6" t="b">
        <f aca="false">FALSE()</f>
        <v>0</v>
      </c>
      <c r="G55" s="0" t="n">
        <v>0.135164817409704</v>
      </c>
    </row>
    <row r="56" customFormat="false" ht="15" hidden="false" customHeight="false" outlineLevel="0" collapsed="false">
      <c r="A56" s="0" t="s">
        <v>583</v>
      </c>
      <c r="B56" s="0" t="s">
        <v>557</v>
      </c>
      <c r="C56" s="0" t="n">
        <v>0.809728</v>
      </c>
      <c r="D56" s="0" t="n">
        <v>0.679039108379608</v>
      </c>
      <c r="E56" s="6" t="b">
        <f aca="false">TRUE()</f>
        <v>1</v>
      </c>
      <c r="F56" s="6" t="b">
        <f aca="false">TRUE()</f>
        <v>1</v>
      </c>
      <c r="G56" s="0" t="n">
        <v>0.130688891620393</v>
      </c>
    </row>
    <row r="57" customFormat="false" ht="15" hidden="false" customHeight="false" outlineLevel="0" collapsed="false">
      <c r="A57" s="0" t="s">
        <v>583</v>
      </c>
      <c r="B57" s="0" t="s">
        <v>520</v>
      </c>
      <c r="C57" s="0" t="n">
        <v>0.750555</v>
      </c>
      <c r="D57" s="0" t="n">
        <v>0.728404531616039</v>
      </c>
      <c r="E57" s="6" t="b">
        <f aca="false">TRUE()</f>
        <v>1</v>
      </c>
      <c r="F57" s="6" t="b">
        <f aca="false">FALSE()</f>
        <v>0</v>
      </c>
      <c r="G57" s="0" t="n">
        <v>0.022150468383961</v>
      </c>
    </row>
    <row r="58" customFormat="false" ht="15" hidden="false" customHeight="false" outlineLevel="0" collapsed="false">
      <c r="A58" s="0" t="s">
        <v>583</v>
      </c>
      <c r="B58" s="0" t="s">
        <v>584</v>
      </c>
      <c r="C58" s="0" t="n">
        <v>0.762768</v>
      </c>
      <c r="D58" s="0" t="n">
        <v>0.724237915766615</v>
      </c>
      <c r="E58" s="6" t="b">
        <f aca="false">TRUE()</f>
        <v>1</v>
      </c>
      <c r="F58" s="6" t="b">
        <f aca="false">FALSE()</f>
        <v>0</v>
      </c>
      <c r="G58" s="0" t="n">
        <v>0.0385300842333853</v>
      </c>
    </row>
    <row r="59" customFormat="false" ht="15" hidden="false" customHeight="false" outlineLevel="0" collapsed="false">
      <c r="A59" s="0" t="s">
        <v>583</v>
      </c>
      <c r="B59" s="0" t="s">
        <v>585</v>
      </c>
      <c r="C59" s="0" t="n">
        <v>0.92316</v>
      </c>
      <c r="D59" s="0" t="n">
        <v>0.744525519815523</v>
      </c>
      <c r="E59" s="6" t="b">
        <f aca="false">TRUE()</f>
        <v>1</v>
      </c>
      <c r="F59" s="6" t="b">
        <f aca="false">FALSE()</f>
        <v>0</v>
      </c>
      <c r="G59" s="0" t="n">
        <v>0.178634480184477</v>
      </c>
    </row>
    <row r="60" customFormat="false" ht="15" hidden="false" customHeight="false" outlineLevel="0" collapsed="false">
      <c r="A60" s="0" t="s">
        <v>586</v>
      </c>
      <c r="B60" s="0" t="s">
        <v>587</v>
      </c>
      <c r="C60" s="0" t="n">
        <v>0.76605</v>
      </c>
      <c r="D60" s="0" t="n">
        <v>0.735008130737096</v>
      </c>
      <c r="E60" s="6" t="b">
        <f aca="false">TRUE()</f>
        <v>1</v>
      </c>
      <c r="F60" s="6" t="b">
        <f aca="false">FALSE()</f>
        <v>0</v>
      </c>
      <c r="G60" s="0" t="n">
        <v>0.0310418692629039</v>
      </c>
    </row>
    <row r="61" customFormat="false" ht="15" hidden="false" customHeight="false" outlineLevel="0" collapsed="false">
      <c r="A61" s="0" t="s">
        <v>586</v>
      </c>
      <c r="B61" s="0" t="s">
        <v>577</v>
      </c>
      <c r="C61" s="0" t="n">
        <v>0.715925</v>
      </c>
      <c r="D61" s="0" t="n">
        <v>0.709951664994774</v>
      </c>
      <c r="E61" s="6" t="b">
        <f aca="false">TRUE()</f>
        <v>1</v>
      </c>
      <c r="F61" s="6" t="b">
        <f aca="false">FALSE()</f>
        <v>0</v>
      </c>
      <c r="G61" s="0" t="n">
        <v>0.0059733350052262</v>
      </c>
    </row>
    <row r="62" customFormat="false" ht="15" hidden="false" customHeight="false" outlineLevel="0" collapsed="false">
      <c r="A62" s="0" t="s">
        <v>588</v>
      </c>
      <c r="B62" s="0" t="s">
        <v>513</v>
      </c>
      <c r="C62" s="0" t="n">
        <v>0.73282</v>
      </c>
      <c r="D62" s="0" t="n">
        <v>0.715432953125367</v>
      </c>
      <c r="E62" s="6" t="b">
        <f aca="false">TRUE()</f>
        <v>1</v>
      </c>
      <c r="F62" s="6" t="b">
        <f aca="false">FALSE()</f>
        <v>0</v>
      </c>
      <c r="G62" s="0" t="n">
        <v>0.0173870468746325</v>
      </c>
    </row>
    <row r="63" customFormat="false" ht="15" hidden="false" customHeight="false" outlineLevel="0" collapsed="false">
      <c r="A63" s="0" t="s">
        <v>588</v>
      </c>
      <c r="B63" s="0" t="s">
        <v>523</v>
      </c>
      <c r="C63" s="0" t="n">
        <v>0.702975</v>
      </c>
      <c r="D63" s="0" t="n">
        <v>0.701198692139403</v>
      </c>
      <c r="E63" s="6" t="b">
        <f aca="false">TRUE()</f>
        <v>1</v>
      </c>
      <c r="F63" s="6" t="b">
        <f aca="false">FALSE()</f>
        <v>0</v>
      </c>
      <c r="G63" s="0" t="n">
        <v>0.0017763078605971</v>
      </c>
    </row>
    <row r="64" customFormat="false" ht="15" hidden="false" customHeight="false" outlineLevel="0" collapsed="false">
      <c r="A64" s="0" t="s">
        <v>588</v>
      </c>
      <c r="B64" s="0" t="s">
        <v>589</v>
      </c>
      <c r="C64" s="0" t="n">
        <v>0.67397</v>
      </c>
      <c r="D64" s="0" t="n">
        <v>0.694478457038263</v>
      </c>
      <c r="E64" s="6" t="b">
        <f aca="false">TRUE()</f>
        <v>1</v>
      </c>
      <c r="F64" s="6" t="b">
        <f aca="false">FALSE()</f>
        <v>0</v>
      </c>
      <c r="G64" s="0" t="n">
        <v>-0.0205084570382628</v>
      </c>
    </row>
    <row r="65" customFormat="false" ht="15" hidden="false" customHeight="false" outlineLevel="0" collapsed="false">
      <c r="A65" s="0" t="s">
        <v>588</v>
      </c>
      <c r="B65" s="0" t="s">
        <v>590</v>
      </c>
      <c r="C65" s="0" t="n">
        <v>0.78028</v>
      </c>
      <c r="D65" s="0" t="n">
        <v>0.725549410494802</v>
      </c>
      <c r="E65" s="6" t="b">
        <f aca="false">TRUE()</f>
        <v>1</v>
      </c>
      <c r="F65" s="6" t="b">
        <f aca="false">FALSE()</f>
        <v>0</v>
      </c>
      <c r="G65" s="0" t="n">
        <v>0.0547305895051984</v>
      </c>
    </row>
    <row r="66" customFormat="false" ht="15" hidden="false" customHeight="false" outlineLevel="0" collapsed="false">
      <c r="A66" s="0" t="s">
        <v>588</v>
      </c>
      <c r="B66" s="0" t="s">
        <v>563</v>
      </c>
      <c r="C66" s="0" t="n">
        <v>0.689766</v>
      </c>
      <c r="D66" s="0" t="n">
        <v>0.725711667299653</v>
      </c>
      <c r="E66" s="6" t="b">
        <f aca="false">TRUE()</f>
        <v>1</v>
      </c>
      <c r="F66" s="6" t="b">
        <f aca="false">FALSE()</f>
        <v>0</v>
      </c>
      <c r="G66" s="0" t="n">
        <v>-0.0359456672996524</v>
      </c>
    </row>
    <row r="67" customFormat="false" ht="15" hidden="false" customHeight="false" outlineLevel="0" collapsed="false">
      <c r="A67" s="0" t="s">
        <v>588</v>
      </c>
      <c r="B67" s="0" t="s">
        <v>520</v>
      </c>
      <c r="C67" s="0" t="n">
        <v>0.68764</v>
      </c>
      <c r="D67" s="0" t="n">
        <v>0.728404531616039</v>
      </c>
      <c r="E67" s="6" t="b">
        <f aca="false">TRUE()</f>
        <v>1</v>
      </c>
      <c r="F67" s="6" t="b">
        <f aca="false">FALSE()</f>
        <v>0</v>
      </c>
      <c r="G67" s="0" t="n">
        <v>-0.0407645316160389</v>
      </c>
    </row>
    <row r="68" customFormat="false" ht="15" hidden="false" customHeight="false" outlineLevel="0" collapsed="false">
      <c r="A68" s="0" t="s">
        <v>588</v>
      </c>
      <c r="B68" s="0" t="s">
        <v>565</v>
      </c>
      <c r="C68" s="0" t="n">
        <v>0.697024</v>
      </c>
      <c r="D68" s="0" t="n">
        <v>0.71998447109843</v>
      </c>
      <c r="E68" s="6" t="b">
        <f aca="false">TRUE()</f>
        <v>1</v>
      </c>
      <c r="F68" s="6" t="b">
        <f aca="false">FALSE()</f>
        <v>0</v>
      </c>
      <c r="G68" s="0" t="n">
        <v>-0.0229604710984301</v>
      </c>
    </row>
    <row r="69" customFormat="false" ht="15" hidden="false" customHeight="false" outlineLevel="0" collapsed="false">
      <c r="A69" s="0" t="s">
        <v>591</v>
      </c>
      <c r="B69" s="0" t="s">
        <v>592</v>
      </c>
      <c r="C69" s="0" t="n">
        <v>0.865055</v>
      </c>
      <c r="D69" s="0" t="n">
        <v>0.743349750211648</v>
      </c>
      <c r="E69" s="6" t="b">
        <f aca="false">TRUE()</f>
        <v>1</v>
      </c>
      <c r="F69" s="6" t="b">
        <f aca="false">FALSE()</f>
        <v>0</v>
      </c>
      <c r="G69" s="0" t="n">
        <v>0.121705249788352</v>
      </c>
    </row>
    <row r="70" customFormat="false" ht="15" hidden="false" customHeight="false" outlineLevel="0" collapsed="false">
      <c r="A70" s="0" t="s">
        <v>591</v>
      </c>
      <c r="B70" s="0" t="s">
        <v>577</v>
      </c>
      <c r="C70" s="0" t="n">
        <v>0.764535</v>
      </c>
      <c r="D70" s="0" t="n">
        <v>0.709951664994774</v>
      </c>
      <c r="E70" s="6" t="b">
        <f aca="false">TRUE()</f>
        <v>1</v>
      </c>
      <c r="F70" s="6" t="b">
        <f aca="false">FALSE()</f>
        <v>0</v>
      </c>
      <c r="G70" s="0" t="n">
        <v>0.0545833350052262</v>
      </c>
    </row>
    <row r="71" customFormat="false" ht="15" hidden="false" customHeight="false" outlineLevel="0" collapsed="false">
      <c r="A71" s="0" t="s">
        <v>530</v>
      </c>
      <c r="B71" s="0" t="s">
        <v>569</v>
      </c>
      <c r="C71" s="0" t="n">
        <v>0.636363636363636</v>
      </c>
      <c r="D71" s="0" t="n">
        <v>0.672554035982117</v>
      </c>
      <c r="E71" s="6" t="b">
        <f aca="false">FALSE()</f>
        <v>0</v>
      </c>
      <c r="F71" s="6" t="b">
        <f aca="false">TRUE()</f>
        <v>1</v>
      </c>
      <c r="G71" s="0" t="n">
        <v>-0.0361903996184809</v>
      </c>
    </row>
    <row r="72" customFormat="false" ht="15" hidden="false" customHeight="false" outlineLevel="0" collapsed="false">
      <c r="A72" s="0" t="s">
        <v>538</v>
      </c>
      <c r="B72" s="0" t="s">
        <v>593</v>
      </c>
      <c r="C72" s="0" t="n">
        <v>0.733333333333333</v>
      </c>
      <c r="D72" s="0" t="n">
        <v>0.702596660489104</v>
      </c>
      <c r="E72" s="6" t="b">
        <f aca="false">FALSE()</f>
        <v>0</v>
      </c>
      <c r="F72" s="6" t="b">
        <f aca="false">FALSE()</f>
        <v>0</v>
      </c>
      <c r="G72" s="0" t="n">
        <v>0.0307366728442289</v>
      </c>
    </row>
    <row r="73" customFormat="false" ht="15" hidden="false" customHeight="false" outlineLevel="0" collapsed="false">
      <c r="A73" s="0" t="s">
        <v>545</v>
      </c>
      <c r="B73" s="0" t="s">
        <v>594</v>
      </c>
      <c r="C73" s="0" t="n">
        <v>0.631578947368421</v>
      </c>
      <c r="D73" s="0" t="n">
        <v>0.639418098142196</v>
      </c>
      <c r="E73" s="6" t="b">
        <f aca="false">FALSE()</f>
        <v>0</v>
      </c>
      <c r="F73" s="6" t="b">
        <f aca="false">TRUE()</f>
        <v>1</v>
      </c>
      <c r="G73" s="0" t="n">
        <v>-0.0078391507737749</v>
      </c>
    </row>
    <row r="74" customFormat="false" ht="15" hidden="false" customHeight="false" outlineLevel="0" collapsed="false">
      <c r="A74" s="0" t="s">
        <v>551</v>
      </c>
      <c r="B74" s="0" t="s">
        <v>576</v>
      </c>
      <c r="C74" s="0" t="n">
        <v>0.593220338983051</v>
      </c>
      <c r="D74" s="0" t="n">
        <v>0.689580099970721</v>
      </c>
      <c r="E74" s="6" t="b">
        <f aca="false">FALSE()</f>
        <v>0</v>
      </c>
      <c r="F74" s="6" t="b">
        <f aca="false">FALSE()</f>
        <v>0</v>
      </c>
      <c r="G74" s="0" t="n">
        <v>-0.0963597609876699</v>
      </c>
    </row>
    <row r="75" customFormat="false" ht="15" hidden="false" customHeight="false" outlineLevel="0" collapsed="false">
      <c r="A75" s="0" t="s">
        <v>595</v>
      </c>
      <c r="B75" s="0" t="s">
        <v>534</v>
      </c>
      <c r="C75" s="0" t="n">
        <v>0.641509433962264</v>
      </c>
      <c r="D75" s="0" t="n">
        <v>0.745921399066219</v>
      </c>
      <c r="E75" s="6" t="b">
        <f aca="false">FALSE()</f>
        <v>0</v>
      </c>
      <c r="F75" s="6" t="b">
        <f aca="false">FALSE()</f>
        <v>0</v>
      </c>
      <c r="G75" s="0" t="n">
        <v>-0.104411965103954</v>
      </c>
    </row>
    <row r="76" customFormat="false" ht="15" hidden="false" customHeight="false" outlineLevel="0" collapsed="false">
      <c r="A76" s="0" t="s">
        <v>553</v>
      </c>
      <c r="B76" s="0" t="s">
        <v>535</v>
      </c>
      <c r="C76" s="0" t="n">
        <v>0.65</v>
      </c>
      <c r="D76" s="0" t="n">
        <v>0.689070398710824</v>
      </c>
      <c r="E76" s="6" t="b">
        <f aca="false">FALSE()</f>
        <v>0</v>
      </c>
      <c r="F76" s="6" t="b">
        <f aca="false">TRUE()</f>
        <v>1</v>
      </c>
      <c r="G76" s="0" t="n">
        <v>-0.039070398710824</v>
      </c>
    </row>
    <row r="77" customFormat="false" ht="15" hidden="false" customHeight="false" outlineLevel="0" collapsed="false">
      <c r="A77" s="0" t="s">
        <v>555</v>
      </c>
      <c r="B77" s="0" t="s">
        <v>523</v>
      </c>
      <c r="C77" s="0" t="n">
        <v>0.637254901960784</v>
      </c>
      <c r="D77" s="0" t="n">
        <v>0.701198692139403</v>
      </c>
      <c r="E77" s="6" t="b">
        <f aca="false">FALSE()</f>
        <v>0</v>
      </c>
      <c r="F77" s="6" t="b">
        <f aca="false">FALSE()</f>
        <v>0</v>
      </c>
      <c r="G77" s="0" t="n">
        <v>-0.0639437901786186</v>
      </c>
    </row>
    <row r="78" customFormat="false" ht="15" hidden="false" customHeight="false" outlineLevel="0" collapsed="false">
      <c r="A78" s="0" t="s">
        <v>559</v>
      </c>
      <c r="B78" s="0" t="s">
        <v>539</v>
      </c>
      <c r="C78" s="0" t="n">
        <v>0.524590163934426</v>
      </c>
      <c r="D78" s="0" t="n">
        <v>0.633640180576233</v>
      </c>
      <c r="E78" s="6" t="b">
        <f aca="false">FALSE()</f>
        <v>0</v>
      </c>
      <c r="F78" s="6" t="b">
        <f aca="false">TRUE()</f>
        <v>1</v>
      </c>
      <c r="G78" s="0" t="n">
        <v>-0.109050016641807</v>
      </c>
    </row>
    <row r="79" customFormat="false" ht="15" hidden="false" customHeight="false" outlineLevel="0" collapsed="false">
      <c r="A79" s="0" t="s">
        <v>562</v>
      </c>
      <c r="B79" s="0" t="s">
        <v>596</v>
      </c>
      <c r="C79" s="0" t="n">
        <v>0.646616541353383</v>
      </c>
      <c r="D79" s="0" t="n">
        <v>0.69875318696559</v>
      </c>
      <c r="E79" s="6" t="b">
        <f aca="false">FALSE()</f>
        <v>0</v>
      </c>
      <c r="F79" s="6" t="b">
        <f aca="false">FALSE()</f>
        <v>0</v>
      </c>
      <c r="G79" s="0" t="n">
        <v>-0.0521366456122064</v>
      </c>
    </row>
    <row r="80" customFormat="false" ht="15" hidden="false" customHeight="false" outlineLevel="0" collapsed="false">
      <c r="A80" s="0" t="s">
        <v>564</v>
      </c>
      <c r="B80" s="0" t="s">
        <v>572</v>
      </c>
      <c r="C80" s="0" t="n">
        <v>0.578947368421053</v>
      </c>
      <c r="D80" s="0" t="n">
        <v>0.666162110843883</v>
      </c>
      <c r="E80" s="6" t="b">
        <f aca="false">FALSE()</f>
        <v>0</v>
      </c>
      <c r="F80" s="6" t="b">
        <f aca="false">TRUE()</f>
        <v>1</v>
      </c>
      <c r="G80" s="0" t="n">
        <v>-0.0872147424228305</v>
      </c>
    </row>
    <row r="81" customFormat="false" ht="15" hidden="false" customHeight="false" outlineLevel="0" collapsed="false">
      <c r="A81" s="0" t="s">
        <v>564</v>
      </c>
      <c r="B81" s="0" t="s">
        <v>597</v>
      </c>
      <c r="C81" s="0" t="n">
        <v>0.647887323943662</v>
      </c>
      <c r="D81" s="0" t="n">
        <v>0.73939383747887</v>
      </c>
      <c r="E81" s="6" t="b">
        <f aca="false">FALSE()</f>
        <v>0</v>
      </c>
      <c r="F81" s="6" t="b">
        <f aca="false">FALSE()</f>
        <v>0</v>
      </c>
      <c r="G81" s="0" t="n">
        <v>-0.0915065135352077</v>
      </c>
    </row>
    <row r="82" customFormat="false" ht="15" hidden="false" customHeight="false" outlineLevel="0" collapsed="false">
      <c r="A82" s="0" t="s">
        <v>568</v>
      </c>
      <c r="B82" s="0" t="s">
        <v>594</v>
      </c>
      <c r="C82" s="0" t="n">
        <v>0.647058823529412</v>
      </c>
      <c r="D82" s="0" t="n">
        <v>0.639418098142196</v>
      </c>
      <c r="E82" s="6" t="b">
        <f aca="false">FALSE()</f>
        <v>0</v>
      </c>
      <c r="F82" s="6" t="b">
        <f aca="false">TRUE()</f>
        <v>1</v>
      </c>
      <c r="G82" s="0" t="n">
        <v>0.0076407253872158</v>
      </c>
    </row>
    <row r="83" customFormat="false" ht="15" hidden="false" customHeight="false" outlineLevel="0" collapsed="false">
      <c r="A83" s="0" t="s">
        <v>570</v>
      </c>
      <c r="B83" s="0" t="s">
        <v>594</v>
      </c>
      <c r="C83" s="0" t="n">
        <v>0.387755102040816</v>
      </c>
      <c r="D83" s="0" t="n">
        <v>0.639418098142196</v>
      </c>
      <c r="E83" s="6" t="b">
        <f aca="false">FALSE()</f>
        <v>0</v>
      </c>
      <c r="F83" s="6" t="b">
        <f aca="false">TRUE()</f>
        <v>1</v>
      </c>
      <c r="G83" s="0" t="n">
        <v>-0.25166299610138</v>
      </c>
    </row>
    <row r="84" customFormat="false" ht="15" hidden="false" customHeight="false" outlineLevel="0" collapsed="false">
      <c r="A84" s="0" t="s">
        <v>573</v>
      </c>
      <c r="B84" s="0" t="s">
        <v>594</v>
      </c>
      <c r="C84" s="0" t="n">
        <v>0.653846153846154</v>
      </c>
      <c r="D84" s="0" t="n">
        <v>0.639418098142196</v>
      </c>
      <c r="E84" s="6" t="b">
        <f aca="false">FALSE()</f>
        <v>0</v>
      </c>
      <c r="F84" s="6" t="b">
        <f aca="false">TRUE()</f>
        <v>1</v>
      </c>
      <c r="G84" s="0" t="n">
        <v>0.0144280557039578</v>
      </c>
    </row>
    <row r="85" customFormat="false" ht="15" hidden="false" customHeight="false" outlineLevel="0" collapsed="false">
      <c r="A85" s="0" t="s">
        <v>573</v>
      </c>
      <c r="B85" s="0" t="s">
        <v>596</v>
      </c>
      <c r="C85" s="0" t="n">
        <v>0.653846153846154</v>
      </c>
      <c r="D85" s="0" t="n">
        <v>0.69875318696559</v>
      </c>
      <c r="E85" s="6" t="b">
        <f aca="false">FALSE()</f>
        <v>0</v>
      </c>
      <c r="F85" s="6" t="b">
        <f aca="false">FALSE()</f>
        <v>0</v>
      </c>
      <c r="G85" s="0" t="n">
        <v>-0.044907033119436</v>
      </c>
    </row>
    <row r="86" customFormat="false" ht="15" hidden="false" customHeight="false" outlineLevel="0" collapsed="false">
      <c r="A86" s="0" t="s">
        <v>598</v>
      </c>
      <c r="B86" s="0" t="s">
        <v>518</v>
      </c>
      <c r="C86" s="0" t="n">
        <v>0.673913043478261</v>
      </c>
      <c r="D86" s="0" t="n">
        <v>0.730074974385795</v>
      </c>
      <c r="E86" s="6" t="b">
        <f aca="false">FALSE()</f>
        <v>0</v>
      </c>
      <c r="F86" s="6" t="b">
        <f aca="false">FALSE()</f>
        <v>0</v>
      </c>
      <c r="G86" s="0" t="n">
        <v>-0.0561619309075345</v>
      </c>
    </row>
    <row r="87" customFormat="false" ht="15" hidden="false" customHeight="false" outlineLevel="0" collapsed="false">
      <c r="A87" s="0" t="s">
        <v>580</v>
      </c>
      <c r="B87" s="0" t="s">
        <v>599</v>
      </c>
      <c r="C87" s="0" t="n">
        <v>0.731021</v>
      </c>
      <c r="D87" s="0" t="n">
        <v>0.712262733642469</v>
      </c>
      <c r="E87" s="6" t="b">
        <f aca="false">FALSE()</f>
        <v>0</v>
      </c>
      <c r="F87" s="6" t="b">
        <f aca="false">FALSE()</f>
        <v>0</v>
      </c>
      <c r="G87" s="0" t="n">
        <v>0.0187582663575308</v>
      </c>
    </row>
    <row r="88" customFormat="false" ht="15" hidden="false" customHeight="false" outlineLevel="0" collapsed="false">
      <c r="A88" s="0" t="s">
        <v>581</v>
      </c>
      <c r="B88" s="0" t="s">
        <v>594</v>
      </c>
      <c r="C88" s="0" t="n">
        <v>0.62252</v>
      </c>
      <c r="D88" s="0" t="n">
        <v>0.639418098142196</v>
      </c>
      <c r="E88" s="6" t="b">
        <f aca="false">FALSE()</f>
        <v>0</v>
      </c>
      <c r="F88" s="6" t="b">
        <f aca="false">TRUE()</f>
        <v>1</v>
      </c>
      <c r="G88" s="0" t="n">
        <v>-0.016898098142196</v>
      </c>
    </row>
    <row r="89" customFormat="false" ht="15" hidden="false" customHeight="false" outlineLevel="0" collapsed="false">
      <c r="A89" s="0" t="s">
        <v>583</v>
      </c>
      <c r="B89" s="0" t="s">
        <v>594</v>
      </c>
      <c r="C89" s="0" t="n">
        <v>0.730546</v>
      </c>
      <c r="D89" s="0" t="n">
        <v>0.639418098142196</v>
      </c>
      <c r="E89" s="6" t="b">
        <f aca="false">FALSE()</f>
        <v>0</v>
      </c>
      <c r="F89" s="6" t="b">
        <f aca="false">TRUE()</f>
        <v>1</v>
      </c>
      <c r="G89" s="0" t="n">
        <v>0.0911279018578039</v>
      </c>
    </row>
    <row r="90" customFormat="false" ht="15" hidden="false" customHeight="false" outlineLevel="0" collapsed="false">
      <c r="A90" s="0" t="s">
        <v>586</v>
      </c>
      <c r="B90" s="0" t="s">
        <v>549</v>
      </c>
      <c r="C90" s="0" t="n">
        <v>0.676432</v>
      </c>
      <c r="D90" s="0" t="n">
        <v>0.683794566904344</v>
      </c>
      <c r="E90" s="6" t="b">
        <f aca="false">FALSE()</f>
        <v>0</v>
      </c>
      <c r="F90" s="6" t="b">
        <f aca="false">TRUE()</f>
        <v>1</v>
      </c>
      <c r="G90" s="0" t="n">
        <v>-0.0073625669043441</v>
      </c>
    </row>
    <row r="91" customFormat="false" ht="15" hidden="false" customHeight="false" outlineLevel="0" collapsed="false">
      <c r="A91" s="0" t="s">
        <v>591</v>
      </c>
      <c r="B91" s="0" t="s">
        <v>550</v>
      </c>
      <c r="C91" s="0" t="n">
        <v>0.6776</v>
      </c>
      <c r="D91" s="0" t="n">
        <v>0.681079677825919</v>
      </c>
      <c r="E91" s="6" t="b">
        <f aca="false">FALSE()</f>
        <v>0</v>
      </c>
      <c r="F91" s="6" t="b">
        <f aca="false">TRUE()</f>
        <v>1</v>
      </c>
      <c r="G91" s="0" t="n">
        <v>-0.0034796778259192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3" t="s">
        <v>600</v>
      </c>
    </row>
    <row r="3" customFormat="false" ht="15" hidden="false" customHeight="false" outlineLevel="0" collapsed="false">
      <c r="A3" s="3" t="s">
        <v>525</v>
      </c>
      <c r="B3" s="3" t="s">
        <v>601</v>
      </c>
      <c r="C3" s="3" t="s">
        <v>602</v>
      </c>
      <c r="D3" s="3" t="s">
        <v>603</v>
      </c>
      <c r="E3" s="3" t="s">
        <v>604</v>
      </c>
      <c r="F3" s="3" t="s">
        <v>605</v>
      </c>
      <c r="G3" s="3" t="s">
        <v>606</v>
      </c>
    </row>
    <row r="4" customFormat="false" ht="15" hidden="false" customHeight="false" outlineLevel="0" collapsed="false">
      <c r="A4" s="0" t="s">
        <v>607</v>
      </c>
      <c r="B4" s="0" t="s">
        <v>608</v>
      </c>
      <c r="C4" s="0" t="n">
        <v>75</v>
      </c>
      <c r="D4" s="0" t="n">
        <v>0.64</v>
      </c>
      <c r="E4" s="0" t="n">
        <v>70</v>
      </c>
      <c r="F4" s="0" t="n">
        <v>0.614</v>
      </c>
    </row>
    <row r="5" customFormat="false" ht="15" hidden="false" customHeight="false" outlineLevel="0" collapsed="false">
      <c r="A5" s="0" t="s">
        <v>609</v>
      </c>
      <c r="B5" s="0" t="s">
        <v>610</v>
      </c>
      <c r="C5" s="0" t="n">
        <v>50</v>
      </c>
      <c r="D5" s="0" t="n">
        <v>0.48</v>
      </c>
      <c r="E5" s="0" t="n">
        <v>60</v>
      </c>
      <c r="F5" s="0" t="n">
        <v>0.667</v>
      </c>
      <c r="G5" s="0" t="n">
        <v>1</v>
      </c>
    </row>
    <row r="6" customFormat="false" ht="15" hidden="false" customHeight="false" outlineLevel="0" collapsed="false">
      <c r="A6" s="0" t="s">
        <v>611</v>
      </c>
      <c r="B6" s="0" t="s">
        <v>612</v>
      </c>
      <c r="C6" s="0" t="n">
        <v>115</v>
      </c>
      <c r="D6" s="0" t="n">
        <v>0.609</v>
      </c>
      <c r="E6" s="0" t="n">
        <v>78</v>
      </c>
      <c r="F6" s="0" t="n">
        <v>0.577</v>
      </c>
      <c r="G6" s="0" t="n">
        <v>1</v>
      </c>
    </row>
    <row r="7" customFormat="false" ht="15" hidden="false" customHeight="false" outlineLevel="0" collapsed="false">
      <c r="A7" s="0" t="s">
        <v>613</v>
      </c>
      <c r="B7" s="0" t="s">
        <v>614</v>
      </c>
      <c r="C7" s="0" t="n">
        <v>83</v>
      </c>
      <c r="D7" s="0" t="n">
        <v>0.687</v>
      </c>
      <c r="E7" s="0" t="n">
        <v>97</v>
      </c>
      <c r="F7" s="0" t="n">
        <v>0.691</v>
      </c>
      <c r="G7" s="0" t="n">
        <v>1</v>
      </c>
    </row>
    <row r="8" customFormat="false" ht="15" hidden="false" customHeight="false" outlineLevel="0" collapsed="false">
      <c r="A8" s="0" t="s">
        <v>615</v>
      </c>
      <c r="B8" s="0" t="s">
        <v>616</v>
      </c>
      <c r="C8" s="0" t="n">
        <v>71</v>
      </c>
      <c r="D8" s="0" t="n">
        <v>0.718</v>
      </c>
      <c r="E8" s="0" t="n">
        <v>73</v>
      </c>
      <c r="F8" s="0" t="n">
        <v>0.616</v>
      </c>
      <c r="G8" s="0" t="n">
        <v>1</v>
      </c>
    </row>
    <row r="9" customFormat="false" ht="15" hidden="false" customHeight="false" outlineLevel="0" collapsed="false">
      <c r="A9" s="0" t="s">
        <v>617</v>
      </c>
      <c r="B9" s="0" t="s">
        <v>618</v>
      </c>
      <c r="C9" s="0" t="n">
        <v>106</v>
      </c>
      <c r="D9" s="0" t="n">
        <v>0.604</v>
      </c>
      <c r="E9" s="0" t="n">
        <v>101</v>
      </c>
      <c r="F9" s="0" t="n">
        <v>0.653</v>
      </c>
      <c r="G9" s="0" t="n">
        <v>1</v>
      </c>
    </row>
    <row r="10" customFormat="false" ht="15" hidden="false" customHeight="false" outlineLevel="0" collapsed="false">
      <c r="A10" s="0" t="s">
        <v>619</v>
      </c>
      <c r="B10" s="0" t="s">
        <v>620</v>
      </c>
      <c r="C10" s="0" t="n">
        <v>50</v>
      </c>
      <c r="D10" s="0" t="n">
        <v>0.8</v>
      </c>
      <c r="E10" s="0" t="n">
        <v>55</v>
      </c>
      <c r="F10" s="0" t="n">
        <v>0.709</v>
      </c>
      <c r="G10" s="0" t="n">
        <v>1</v>
      </c>
    </row>
    <row r="11" customFormat="false" ht="15" hidden="false" customHeight="false" outlineLevel="0" collapsed="false">
      <c r="A11" s="0" t="s">
        <v>621</v>
      </c>
      <c r="B11" s="0" t="s">
        <v>622</v>
      </c>
      <c r="C11" s="0" t="n">
        <v>52</v>
      </c>
      <c r="D11" s="0" t="n">
        <v>0.75</v>
      </c>
      <c r="E11" s="0" t="n">
        <v>50</v>
      </c>
      <c r="F11" s="0" t="n">
        <v>0.54</v>
      </c>
      <c r="G11" s="0" t="n">
        <v>1</v>
      </c>
    </row>
    <row r="12" customFormat="false" ht="15" hidden="false" customHeight="false" outlineLevel="0" collapsed="false">
      <c r="A12" s="0" t="s">
        <v>623</v>
      </c>
      <c r="B12" s="0" t="s">
        <v>624</v>
      </c>
      <c r="C12" s="0" t="n">
        <v>48</v>
      </c>
      <c r="D12" s="0" t="n">
        <v>0.771</v>
      </c>
      <c r="E12" s="0" t="n">
        <v>58</v>
      </c>
      <c r="F12" s="0" t="n">
        <v>0.569</v>
      </c>
      <c r="G12" s="0" t="n">
        <v>1</v>
      </c>
    </row>
    <row r="13" customFormat="false" ht="15" hidden="false" customHeight="false" outlineLevel="0" collapsed="false">
      <c r="A13" s="0" t="s">
        <v>625</v>
      </c>
      <c r="B13" s="0" t="s">
        <v>626</v>
      </c>
      <c r="C13" s="0" t="n">
        <v>167</v>
      </c>
      <c r="D13" s="0" t="n">
        <v>0.683</v>
      </c>
      <c r="E13" s="0" t="n">
        <v>159</v>
      </c>
      <c r="F13" s="0" t="n">
        <v>0.66</v>
      </c>
      <c r="G1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3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3" t="s">
        <v>627</v>
      </c>
    </row>
    <row r="3" customFormat="false" ht="15" hidden="false" customHeight="false" outlineLevel="0" collapsed="false">
      <c r="A3" s="3" t="s">
        <v>201</v>
      </c>
      <c r="B3" s="3" t="s">
        <v>221</v>
      </c>
      <c r="C3" s="3" t="s">
        <v>628</v>
      </c>
      <c r="D3" s="3" t="s">
        <v>629</v>
      </c>
      <c r="E3" s="3" t="s">
        <v>630</v>
      </c>
    </row>
    <row r="4" customFormat="false" ht="15" hidden="false" customHeight="false" outlineLevel="0" collapsed="false">
      <c r="A4" s="0" t="s">
        <v>98</v>
      </c>
      <c r="B4" s="0" t="s">
        <v>631</v>
      </c>
      <c r="C4" s="0" t="s">
        <v>632</v>
      </c>
      <c r="D4" s="0" t="n">
        <v>0.482142857142857</v>
      </c>
      <c r="E4" s="0" t="s">
        <v>633</v>
      </c>
    </row>
    <row r="5" customFormat="false" ht="15" hidden="false" customHeight="false" outlineLevel="0" collapsed="false">
      <c r="A5" s="0" t="s">
        <v>98</v>
      </c>
      <c r="B5" s="0" t="s">
        <v>634</v>
      </c>
      <c r="C5" s="0" t="s">
        <v>635</v>
      </c>
      <c r="D5" s="0" t="n">
        <v>0.467866323907455</v>
      </c>
      <c r="E5" s="0" t="s">
        <v>636</v>
      </c>
    </row>
    <row r="6" customFormat="false" ht="15" hidden="false" customHeight="false" outlineLevel="0" collapsed="false">
      <c r="A6" s="0" t="s">
        <v>98</v>
      </c>
      <c r="B6" s="0" t="s">
        <v>637</v>
      </c>
      <c r="C6" s="0" t="s">
        <v>638</v>
      </c>
      <c r="D6" s="0" t="n">
        <v>0.459317585301837</v>
      </c>
      <c r="E6" s="0" t="s">
        <v>633</v>
      </c>
    </row>
    <row r="7" customFormat="false" ht="15" hidden="false" customHeight="false" outlineLevel="0" collapsed="false">
      <c r="A7" s="0" t="s">
        <v>98</v>
      </c>
      <c r="B7" s="0" t="s">
        <v>639</v>
      </c>
      <c r="C7" s="0" t="s">
        <v>640</v>
      </c>
      <c r="D7" s="0" t="n">
        <v>0.398669621844253</v>
      </c>
      <c r="E7" s="0" t="s">
        <v>641</v>
      </c>
    </row>
    <row r="8" customFormat="false" ht="15" hidden="false" customHeight="false" outlineLevel="0" collapsed="false">
      <c r="A8" s="0" t="s">
        <v>147</v>
      </c>
      <c r="B8" s="0" t="s">
        <v>631</v>
      </c>
      <c r="C8" s="0" t="s">
        <v>642</v>
      </c>
      <c r="D8" s="0" t="n">
        <v>0.647058823529412</v>
      </c>
      <c r="E8" s="0" t="s">
        <v>633</v>
      </c>
    </row>
    <row r="9" customFormat="false" ht="15" hidden="false" customHeight="false" outlineLevel="0" collapsed="false">
      <c r="A9" s="0" t="s">
        <v>147</v>
      </c>
      <c r="B9" s="0" t="s">
        <v>643</v>
      </c>
      <c r="C9" s="0" t="s">
        <v>644</v>
      </c>
      <c r="D9" s="0" t="n">
        <v>0.643564356435644</v>
      </c>
      <c r="E9" s="0" t="s">
        <v>645</v>
      </c>
    </row>
    <row r="10" customFormat="false" ht="15" hidden="false" customHeight="false" outlineLevel="0" collapsed="false">
      <c r="A10" s="0" t="s">
        <v>147</v>
      </c>
      <c r="B10" s="0" t="s">
        <v>646</v>
      </c>
      <c r="C10" s="0" t="s">
        <v>647</v>
      </c>
      <c r="D10" s="0" t="n">
        <v>0.63953488372093</v>
      </c>
      <c r="E10" s="0" t="s">
        <v>648</v>
      </c>
    </row>
    <row r="11" customFormat="false" ht="15" hidden="false" customHeight="false" outlineLevel="0" collapsed="false">
      <c r="A11" s="0" t="s">
        <v>147</v>
      </c>
      <c r="B11" s="0" t="s">
        <v>649</v>
      </c>
      <c r="C11" s="0" t="s">
        <v>650</v>
      </c>
      <c r="D11" s="0" t="n">
        <v>0.635922330097087</v>
      </c>
      <c r="E11" s="0" t="s">
        <v>651</v>
      </c>
    </row>
    <row r="12" customFormat="false" ht="15" hidden="false" customHeight="false" outlineLevel="0" collapsed="false">
      <c r="A12" s="0" t="s">
        <v>147</v>
      </c>
      <c r="B12" s="0" t="s">
        <v>639</v>
      </c>
      <c r="C12" s="0" t="s">
        <v>652</v>
      </c>
      <c r="D12" s="0" t="n">
        <v>0.641522504905805</v>
      </c>
      <c r="E12" s="0" t="s">
        <v>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</cols>
  <sheetData>
    <row r="1" customFormat="false" ht="15" hidden="false" customHeight="false" outlineLevel="0" collapsed="false">
      <c r="A1" s="3" t="s">
        <v>653</v>
      </c>
    </row>
    <row r="3" customFormat="false" ht="15" hidden="false" customHeight="false" outlineLevel="0" collapsed="false">
      <c r="A3" s="3" t="s">
        <v>201</v>
      </c>
      <c r="B3" s="3" t="s">
        <v>654</v>
      </c>
      <c r="C3" s="3" t="s">
        <v>655</v>
      </c>
    </row>
    <row r="4" customFormat="false" ht="15" hidden="false" customHeight="false" outlineLevel="0" collapsed="false">
      <c r="A4" s="0" t="s">
        <v>98</v>
      </c>
      <c r="B4" s="0" t="s">
        <v>656</v>
      </c>
      <c r="C4" s="0" t="n">
        <v>0.524959221804584</v>
      </c>
    </row>
    <row r="5" customFormat="false" ht="15" hidden="false" customHeight="false" outlineLevel="0" collapsed="false">
      <c r="A5" s="0" t="s">
        <v>98</v>
      </c>
      <c r="B5" s="0" t="s">
        <v>657</v>
      </c>
      <c r="C5" s="0" t="n">
        <v>0.524736558684316</v>
      </c>
    </row>
    <row r="6" customFormat="false" ht="15" hidden="false" customHeight="false" outlineLevel="0" collapsed="false">
      <c r="A6" s="0" t="s">
        <v>98</v>
      </c>
      <c r="B6" s="0" t="s">
        <v>658</v>
      </c>
      <c r="C6" s="0" t="n">
        <v>0.567231916750009</v>
      </c>
    </row>
    <row r="7" customFormat="false" ht="15" hidden="false" customHeight="false" outlineLevel="0" collapsed="false">
      <c r="A7" s="0" t="s">
        <v>98</v>
      </c>
      <c r="B7" s="0" t="s">
        <v>659</v>
      </c>
      <c r="C7" s="0" t="n">
        <v>0.583499779716334</v>
      </c>
    </row>
    <row r="8" customFormat="false" ht="15" hidden="false" customHeight="false" outlineLevel="0" collapsed="false">
      <c r="A8" s="0" t="s">
        <v>98</v>
      </c>
      <c r="B8" s="0" t="s">
        <v>660</v>
      </c>
      <c r="C8" s="0" t="n">
        <v>0.548732580574212</v>
      </c>
    </row>
    <row r="9" customFormat="false" ht="15" hidden="false" customHeight="false" outlineLevel="0" collapsed="false">
      <c r="A9" s="0" t="s">
        <v>98</v>
      </c>
      <c r="B9" s="0" t="s">
        <v>661</v>
      </c>
      <c r="C9" s="0" t="n">
        <v>0.469774786127916</v>
      </c>
    </row>
    <row r="10" customFormat="false" ht="15" hidden="false" customHeight="false" outlineLevel="0" collapsed="false">
      <c r="A10" s="0" t="s">
        <v>147</v>
      </c>
      <c r="B10" s="0" t="s">
        <v>656</v>
      </c>
      <c r="C10" s="0" t="n">
        <v>0.665719267823457</v>
      </c>
    </row>
    <row r="11" customFormat="false" ht="15" hidden="false" customHeight="false" outlineLevel="0" collapsed="false">
      <c r="A11" s="0" t="s">
        <v>147</v>
      </c>
      <c r="B11" s="0" t="s">
        <v>657</v>
      </c>
      <c r="C11" s="0" t="n">
        <v>0.664028831665623</v>
      </c>
    </row>
    <row r="12" customFormat="false" ht="15" hidden="false" customHeight="false" outlineLevel="0" collapsed="false">
      <c r="A12" s="0" t="s">
        <v>147</v>
      </c>
      <c r="B12" s="0" t="s">
        <v>658</v>
      </c>
      <c r="C12" s="0" t="n">
        <v>0.638124950560078</v>
      </c>
    </row>
    <row r="13" customFormat="false" ht="15" hidden="false" customHeight="false" outlineLevel="0" collapsed="false">
      <c r="A13" s="0" t="s">
        <v>147</v>
      </c>
      <c r="B13" s="0" t="s">
        <v>662</v>
      </c>
      <c r="C13" s="0" t="n">
        <v>0.605702032786765</v>
      </c>
    </row>
    <row r="14" customFormat="false" ht="15" hidden="false" customHeight="false" outlineLevel="0" collapsed="false">
      <c r="A14" s="0" t="s">
        <v>147</v>
      </c>
      <c r="B14" s="0" t="s">
        <v>659</v>
      </c>
      <c r="C14" s="0" t="n">
        <v>0.525685980074112</v>
      </c>
    </row>
    <row r="15" customFormat="false" ht="15" hidden="false" customHeight="false" outlineLevel="0" collapsed="false">
      <c r="A15" s="0" t="s">
        <v>147</v>
      </c>
      <c r="B15" s="0" t="s">
        <v>660</v>
      </c>
      <c r="C15" s="0" t="n">
        <v>0.514906575983438</v>
      </c>
    </row>
    <row r="16" customFormat="false" ht="15" hidden="false" customHeight="false" outlineLevel="0" collapsed="false">
      <c r="A16" s="0" t="s">
        <v>147</v>
      </c>
      <c r="B16" s="0" t="s">
        <v>663</v>
      </c>
      <c r="C16" s="0" t="n">
        <v>0.641520427383211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3" t="s">
        <v>664</v>
      </c>
    </row>
    <row r="3" customFormat="false" ht="15" hidden="false" customHeight="false" outlineLevel="0" collapsed="false">
      <c r="A3" s="3" t="s">
        <v>201</v>
      </c>
      <c r="B3" s="3" t="s">
        <v>665</v>
      </c>
      <c r="C3" s="3" t="s">
        <v>666</v>
      </c>
    </row>
    <row r="4" customFormat="false" ht="15" hidden="false" customHeight="false" outlineLevel="0" collapsed="false">
      <c r="A4" s="0" t="s">
        <v>98</v>
      </c>
      <c r="B4" s="0" t="n">
        <v>0</v>
      </c>
      <c r="C4" s="0" t="n">
        <v>0</v>
      </c>
    </row>
    <row r="5" customFormat="false" ht="15" hidden="false" customHeight="false" outlineLevel="0" collapsed="false">
      <c r="A5" s="0" t="s">
        <v>98</v>
      </c>
      <c r="B5" s="0" t="n">
        <v>1</v>
      </c>
      <c r="C5" s="0" t="n">
        <v>0</v>
      </c>
    </row>
    <row r="6" customFormat="false" ht="15" hidden="false" customHeight="false" outlineLevel="0" collapsed="false">
      <c r="A6" s="0" t="s">
        <v>98</v>
      </c>
      <c r="B6" s="0" t="n">
        <v>2</v>
      </c>
      <c r="C6" s="0" t="n">
        <v>0</v>
      </c>
    </row>
    <row r="7" customFormat="false" ht="15" hidden="false" customHeight="false" outlineLevel="0" collapsed="false">
      <c r="A7" s="0" t="s">
        <v>98</v>
      </c>
      <c r="B7" s="0" t="n">
        <v>3</v>
      </c>
      <c r="C7" s="0" t="n">
        <v>0</v>
      </c>
    </row>
    <row r="8" customFormat="false" ht="15" hidden="false" customHeight="false" outlineLevel="0" collapsed="false">
      <c r="A8" s="0" t="s">
        <v>98</v>
      </c>
      <c r="B8" s="0" t="n">
        <v>4</v>
      </c>
      <c r="C8" s="0" t="n">
        <v>0</v>
      </c>
    </row>
    <row r="9" customFormat="false" ht="15" hidden="false" customHeight="false" outlineLevel="0" collapsed="false">
      <c r="A9" s="0" t="s">
        <v>98</v>
      </c>
      <c r="B9" s="0" t="n">
        <v>5</v>
      </c>
      <c r="C9" s="0" t="n">
        <v>0</v>
      </c>
    </row>
    <row r="10" customFormat="false" ht="15" hidden="false" customHeight="false" outlineLevel="0" collapsed="false">
      <c r="A10" s="0" t="s">
        <v>98</v>
      </c>
      <c r="B10" s="0" t="n">
        <v>6</v>
      </c>
      <c r="C10" s="0" t="n">
        <v>0</v>
      </c>
    </row>
    <row r="11" customFormat="false" ht="15" hidden="false" customHeight="false" outlineLevel="0" collapsed="false">
      <c r="A11" s="0" t="s">
        <v>98</v>
      </c>
      <c r="B11" s="0" t="n">
        <v>7</v>
      </c>
      <c r="C11" s="0" t="n">
        <v>0</v>
      </c>
    </row>
    <row r="12" customFormat="false" ht="15" hidden="false" customHeight="false" outlineLevel="0" collapsed="false">
      <c r="A12" s="0" t="s">
        <v>98</v>
      </c>
      <c r="B12" s="0" t="n">
        <v>8</v>
      </c>
      <c r="C12" s="0" t="n">
        <v>0</v>
      </c>
    </row>
    <row r="13" customFormat="false" ht="15" hidden="false" customHeight="false" outlineLevel="0" collapsed="false">
      <c r="A13" s="0" t="s">
        <v>98</v>
      </c>
      <c r="B13" s="0" t="n">
        <v>9</v>
      </c>
      <c r="C13" s="0" t="n">
        <v>0</v>
      </c>
    </row>
    <row r="14" customFormat="false" ht="15" hidden="false" customHeight="false" outlineLevel="0" collapsed="false">
      <c r="A14" s="0" t="s">
        <v>98</v>
      </c>
      <c r="B14" s="0" t="n">
        <v>10</v>
      </c>
      <c r="C14" s="0" t="n">
        <v>0</v>
      </c>
    </row>
    <row r="15" customFormat="false" ht="15" hidden="false" customHeight="false" outlineLevel="0" collapsed="false">
      <c r="A15" s="0" t="s">
        <v>98</v>
      </c>
      <c r="B15" s="0" t="n">
        <v>11</v>
      </c>
      <c r="C15" s="0" t="n">
        <v>0</v>
      </c>
    </row>
    <row r="16" customFormat="false" ht="15" hidden="false" customHeight="false" outlineLevel="0" collapsed="false">
      <c r="A16" s="0" t="s">
        <v>98</v>
      </c>
      <c r="B16" s="0" t="n">
        <v>12</v>
      </c>
      <c r="C16" s="0" t="n">
        <v>64</v>
      </c>
    </row>
    <row r="17" customFormat="false" ht="15" hidden="false" customHeight="false" outlineLevel="0" collapsed="false">
      <c r="A17" s="0" t="s">
        <v>98</v>
      </c>
      <c r="B17" s="0" t="n">
        <v>13</v>
      </c>
      <c r="C17" s="0" t="n">
        <v>301</v>
      </c>
    </row>
    <row r="18" customFormat="false" ht="15" hidden="false" customHeight="false" outlineLevel="0" collapsed="false">
      <c r="A18" s="0" t="s">
        <v>98</v>
      </c>
      <c r="B18" s="0" t="n">
        <v>14</v>
      </c>
      <c r="C18" s="0" t="n">
        <v>815</v>
      </c>
    </row>
    <row r="19" customFormat="false" ht="15" hidden="false" customHeight="false" outlineLevel="0" collapsed="false">
      <c r="A19" s="0" t="s">
        <v>98</v>
      </c>
      <c r="B19" s="0" t="n">
        <v>15</v>
      </c>
      <c r="C19" s="0" t="n">
        <v>1657</v>
      </c>
    </row>
    <row r="20" customFormat="false" ht="15" hidden="false" customHeight="false" outlineLevel="0" collapsed="false">
      <c r="A20" s="0" t="s">
        <v>98</v>
      </c>
      <c r="B20" s="0" t="n">
        <v>16</v>
      </c>
      <c r="C20" s="0" t="n">
        <v>2659</v>
      </c>
    </row>
    <row r="21" customFormat="false" ht="15" hidden="false" customHeight="false" outlineLevel="0" collapsed="false">
      <c r="A21" s="0" t="s">
        <v>98</v>
      </c>
      <c r="B21" s="0" t="n">
        <v>17</v>
      </c>
      <c r="C21" s="0" t="n">
        <v>4186</v>
      </c>
    </row>
    <row r="22" customFormat="false" ht="15" hidden="false" customHeight="false" outlineLevel="0" collapsed="false">
      <c r="A22" s="0" t="s">
        <v>98</v>
      </c>
      <c r="B22" s="0" t="n">
        <v>18</v>
      </c>
      <c r="C22" s="0" t="n">
        <v>4549</v>
      </c>
    </row>
    <row r="23" customFormat="false" ht="15" hidden="false" customHeight="false" outlineLevel="0" collapsed="false">
      <c r="A23" s="0" t="s">
        <v>98</v>
      </c>
      <c r="B23" s="0" t="n">
        <v>19</v>
      </c>
      <c r="C23" s="0" t="n">
        <v>4738</v>
      </c>
    </row>
    <row r="24" customFormat="false" ht="15" hidden="false" customHeight="false" outlineLevel="0" collapsed="false">
      <c r="A24" s="0" t="s">
        <v>98</v>
      </c>
      <c r="B24" s="0" t="n">
        <v>20</v>
      </c>
      <c r="C24" s="0" t="n">
        <v>4605</v>
      </c>
    </row>
    <row r="25" customFormat="false" ht="15" hidden="false" customHeight="false" outlineLevel="0" collapsed="false">
      <c r="A25" s="0" t="s">
        <v>98</v>
      </c>
      <c r="B25" s="0" t="n">
        <v>21</v>
      </c>
      <c r="C25" s="0" t="n">
        <v>3137</v>
      </c>
    </row>
    <row r="26" customFormat="false" ht="15" hidden="false" customHeight="false" outlineLevel="0" collapsed="false">
      <c r="A26" s="0" t="s">
        <v>98</v>
      </c>
      <c r="B26" s="0" t="n">
        <v>22</v>
      </c>
      <c r="C26" s="0" t="n">
        <v>4580</v>
      </c>
    </row>
    <row r="27" customFormat="false" ht="15" hidden="false" customHeight="false" outlineLevel="0" collapsed="false">
      <c r="A27" s="0" t="s">
        <v>98</v>
      </c>
      <c r="B27" s="0" t="n">
        <v>23</v>
      </c>
      <c r="C27" s="0" t="n">
        <v>3356</v>
      </c>
    </row>
    <row r="28" customFormat="false" ht="15" hidden="false" customHeight="false" outlineLevel="0" collapsed="false">
      <c r="A28" s="0" t="s">
        <v>98</v>
      </c>
      <c r="B28" s="0" t="n">
        <v>24</v>
      </c>
      <c r="C28" s="0" t="n">
        <v>821</v>
      </c>
    </row>
    <row r="29" customFormat="false" ht="15" hidden="false" customHeight="false" outlineLevel="0" collapsed="false">
      <c r="A29" s="0" t="s">
        <v>98</v>
      </c>
      <c r="B29" s="0" t="n">
        <v>25</v>
      </c>
      <c r="C29" s="0" t="n">
        <v>2033</v>
      </c>
    </row>
    <row r="30" customFormat="false" ht="15" hidden="false" customHeight="false" outlineLevel="0" collapsed="false">
      <c r="A30" s="0" t="s">
        <v>98</v>
      </c>
      <c r="B30" s="0" t="n">
        <v>26</v>
      </c>
      <c r="C30" s="0" t="n">
        <v>2781</v>
      </c>
    </row>
    <row r="31" customFormat="false" ht="15" hidden="false" customHeight="false" outlineLevel="0" collapsed="false">
      <c r="A31" s="0" t="s">
        <v>98</v>
      </c>
      <c r="B31" s="0" t="n">
        <v>27</v>
      </c>
      <c r="C31" s="0" t="n">
        <v>1847</v>
      </c>
    </row>
    <row r="32" customFormat="false" ht="15" hidden="false" customHeight="false" outlineLevel="0" collapsed="false">
      <c r="A32" s="0" t="s">
        <v>98</v>
      </c>
      <c r="B32" s="0" t="n">
        <v>28</v>
      </c>
      <c r="C32" s="0" t="n">
        <v>2185</v>
      </c>
    </row>
    <row r="33" customFormat="false" ht="15" hidden="false" customHeight="false" outlineLevel="0" collapsed="false">
      <c r="A33" s="0" t="s">
        <v>98</v>
      </c>
      <c r="B33" s="0" t="n">
        <v>29</v>
      </c>
      <c r="C33" s="0" t="n">
        <v>2169</v>
      </c>
    </row>
    <row r="34" customFormat="false" ht="15" hidden="false" customHeight="false" outlineLevel="0" collapsed="false">
      <c r="A34" s="0" t="s">
        <v>98</v>
      </c>
      <c r="B34" s="0" t="n">
        <v>30</v>
      </c>
      <c r="C34" s="0" t="n">
        <v>2319</v>
      </c>
    </row>
    <row r="35" customFormat="false" ht="15" hidden="false" customHeight="false" outlineLevel="0" collapsed="false">
      <c r="A35" s="0" t="s">
        <v>98</v>
      </c>
      <c r="B35" s="0" t="n">
        <v>31</v>
      </c>
      <c r="C35" s="0" t="n">
        <v>2540</v>
      </c>
    </row>
    <row r="36" customFormat="false" ht="15" hidden="false" customHeight="false" outlineLevel="0" collapsed="false">
      <c r="A36" s="0" t="s">
        <v>98</v>
      </c>
      <c r="B36" s="0" t="n">
        <v>32</v>
      </c>
      <c r="C36" s="0" t="n">
        <v>2504</v>
      </c>
    </row>
    <row r="37" customFormat="false" ht="15" hidden="false" customHeight="false" outlineLevel="0" collapsed="false">
      <c r="A37" s="0" t="s">
        <v>98</v>
      </c>
      <c r="B37" s="0" t="n">
        <v>33</v>
      </c>
      <c r="C37" s="0" t="n">
        <v>1561</v>
      </c>
    </row>
    <row r="38" customFormat="false" ht="15" hidden="false" customHeight="false" outlineLevel="0" collapsed="false">
      <c r="A38" s="0" t="s">
        <v>98</v>
      </c>
      <c r="B38" s="0" t="n">
        <v>34</v>
      </c>
      <c r="C38" s="0" t="n">
        <v>1123</v>
      </c>
    </row>
    <row r="39" customFormat="false" ht="15" hidden="false" customHeight="false" outlineLevel="0" collapsed="false">
      <c r="A39" s="0" t="s">
        <v>98</v>
      </c>
      <c r="B39" s="0" t="n">
        <v>35</v>
      </c>
      <c r="C39" s="0" t="n">
        <v>1538</v>
      </c>
    </row>
    <row r="40" customFormat="false" ht="15" hidden="false" customHeight="false" outlineLevel="0" collapsed="false">
      <c r="A40" s="0" t="s">
        <v>98</v>
      </c>
      <c r="B40" s="0" t="n">
        <v>36</v>
      </c>
      <c r="C40" s="0" t="n">
        <v>1092</v>
      </c>
    </row>
    <row r="41" customFormat="false" ht="15" hidden="false" customHeight="false" outlineLevel="0" collapsed="false">
      <c r="A41" s="0" t="s">
        <v>98</v>
      </c>
      <c r="B41" s="0" t="n">
        <v>37</v>
      </c>
      <c r="C41" s="0" t="n">
        <v>128</v>
      </c>
    </row>
    <row r="42" customFormat="false" ht="15" hidden="false" customHeight="false" outlineLevel="0" collapsed="false">
      <c r="A42" s="0" t="s">
        <v>98</v>
      </c>
      <c r="B42" s="0" t="n">
        <v>38</v>
      </c>
      <c r="C42" s="0" t="n">
        <v>342</v>
      </c>
    </row>
    <row r="43" customFormat="false" ht="15" hidden="false" customHeight="false" outlineLevel="0" collapsed="false">
      <c r="A43" s="0" t="s">
        <v>98</v>
      </c>
      <c r="B43" s="0" t="n">
        <v>39</v>
      </c>
      <c r="C43" s="0" t="n">
        <v>370</v>
      </c>
    </row>
    <row r="44" customFormat="false" ht="15" hidden="false" customHeight="false" outlineLevel="0" collapsed="false">
      <c r="A44" s="0" t="s">
        <v>147</v>
      </c>
      <c r="B44" s="0" t="n">
        <v>0</v>
      </c>
      <c r="C44" s="0" t="n">
        <v>0</v>
      </c>
    </row>
    <row r="45" customFormat="false" ht="15" hidden="false" customHeight="false" outlineLevel="0" collapsed="false">
      <c r="A45" s="0" t="s">
        <v>147</v>
      </c>
      <c r="B45" s="0" t="n">
        <v>1</v>
      </c>
      <c r="C45" s="0" t="n">
        <v>0</v>
      </c>
    </row>
    <row r="46" customFormat="false" ht="15" hidden="false" customHeight="false" outlineLevel="0" collapsed="false">
      <c r="A46" s="0" t="s">
        <v>147</v>
      </c>
      <c r="B46" s="0" t="n">
        <v>2</v>
      </c>
      <c r="C46" s="0" t="n">
        <v>0</v>
      </c>
    </row>
    <row r="47" customFormat="false" ht="15" hidden="false" customHeight="false" outlineLevel="0" collapsed="false">
      <c r="A47" s="0" t="s">
        <v>147</v>
      </c>
      <c r="B47" s="0" t="n">
        <v>3</v>
      </c>
      <c r="C47" s="0" t="n">
        <v>0</v>
      </c>
    </row>
    <row r="48" customFormat="false" ht="15" hidden="false" customHeight="false" outlineLevel="0" collapsed="false">
      <c r="A48" s="0" t="s">
        <v>147</v>
      </c>
      <c r="B48" s="0" t="n">
        <v>4</v>
      </c>
      <c r="C48" s="0" t="n">
        <v>0</v>
      </c>
    </row>
    <row r="49" customFormat="false" ht="15" hidden="false" customHeight="false" outlineLevel="0" collapsed="false">
      <c r="A49" s="0" t="s">
        <v>147</v>
      </c>
      <c r="B49" s="0" t="n">
        <v>5</v>
      </c>
      <c r="C49" s="0" t="n">
        <v>0</v>
      </c>
    </row>
    <row r="50" customFormat="false" ht="15" hidden="false" customHeight="false" outlineLevel="0" collapsed="false">
      <c r="A50" s="0" t="s">
        <v>147</v>
      </c>
      <c r="B50" s="0" t="n">
        <v>6</v>
      </c>
      <c r="C50" s="0" t="n">
        <v>0</v>
      </c>
    </row>
    <row r="51" customFormat="false" ht="15" hidden="false" customHeight="false" outlineLevel="0" collapsed="false">
      <c r="A51" s="0" t="s">
        <v>147</v>
      </c>
      <c r="B51" s="0" t="n">
        <v>7</v>
      </c>
      <c r="C51" s="0" t="n">
        <v>0</v>
      </c>
    </row>
    <row r="52" customFormat="false" ht="15" hidden="false" customHeight="false" outlineLevel="0" collapsed="false">
      <c r="A52" s="0" t="s">
        <v>147</v>
      </c>
      <c r="B52" s="0" t="n">
        <v>8</v>
      </c>
      <c r="C52" s="0" t="n">
        <v>0</v>
      </c>
    </row>
    <row r="53" customFormat="false" ht="15" hidden="false" customHeight="false" outlineLevel="0" collapsed="false">
      <c r="A53" s="0" t="s">
        <v>147</v>
      </c>
      <c r="B53" s="0" t="n">
        <v>9</v>
      </c>
      <c r="C53" s="0" t="n">
        <v>0</v>
      </c>
    </row>
    <row r="54" customFormat="false" ht="15" hidden="false" customHeight="false" outlineLevel="0" collapsed="false">
      <c r="A54" s="0" t="s">
        <v>147</v>
      </c>
      <c r="B54" s="0" t="n">
        <v>10</v>
      </c>
      <c r="C54" s="0" t="n">
        <v>0</v>
      </c>
    </row>
    <row r="55" customFormat="false" ht="15" hidden="false" customHeight="false" outlineLevel="0" collapsed="false">
      <c r="A55" s="0" t="s">
        <v>147</v>
      </c>
      <c r="B55" s="0" t="n">
        <v>11</v>
      </c>
      <c r="C55" s="0" t="n">
        <v>0</v>
      </c>
    </row>
    <row r="56" customFormat="false" ht="15" hidden="false" customHeight="false" outlineLevel="0" collapsed="false">
      <c r="A56" s="0" t="s">
        <v>147</v>
      </c>
      <c r="B56" s="0" t="n">
        <v>12</v>
      </c>
      <c r="C56" s="0" t="n">
        <v>31</v>
      </c>
    </row>
    <row r="57" customFormat="false" ht="15" hidden="false" customHeight="false" outlineLevel="0" collapsed="false">
      <c r="A57" s="0" t="s">
        <v>147</v>
      </c>
      <c r="B57" s="0" t="n">
        <v>13</v>
      </c>
      <c r="C57" s="0" t="n">
        <v>148</v>
      </c>
    </row>
    <row r="58" customFormat="false" ht="15" hidden="false" customHeight="false" outlineLevel="0" collapsed="false">
      <c r="A58" s="0" t="s">
        <v>147</v>
      </c>
      <c r="B58" s="0" t="n">
        <v>14</v>
      </c>
      <c r="C58" s="0" t="n">
        <v>408</v>
      </c>
    </row>
    <row r="59" customFormat="false" ht="15" hidden="false" customHeight="false" outlineLevel="0" collapsed="false">
      <c r="A59" s="0" t="s">
        <v>147</v>
      </c>
      <c r="B59" s="0" t="n">
        <v>15</v>
      </c>
      <c r="C59" s="0" t="n">
        <v>1098</v>
      </c>
    </row>
    <row r="60" customFormat="false" ht="15" hidden="false" customHeight="false" outlineLevel="0" collapsed="false">
      <c r="A60" s="0" t="s">
        <v>147</v>
      </c>
      <c r="B60" s="0" t="n">
        <v>16</v>
      </c>
      <c r="C60" s="0" t="n">
        <v>1843</v>
      </c>
    </row>
    <row r="61" customFormat="false" ht="15" hidden="false" customHeight="false" outlineLevel="0" collapsed="false">
      <c r="A61" s="0" t="s">
        <v>147</v>
      </c>
      <c r="B61" s="0" t="n">
        <v>17</v>
      </c>
      <c r="C61" s="0" t="n">
        <v>3323</v>
      </c>
    </row>
    <row r="62" customFormat="false" ht="15" hidden="false" customHeight="false" outlineLevel="0" collapsed="false">
      <c r="A62" s="0" t="s">
        <v>147</v>
      </c>
      <c r="B62" s="0" t="n">
        <v>18</v>
      </c>
      <c r="C62" s="0" t="n">
        <v>3852</v>
      </c>
    </row>
    <row r="63" customFormat="false" ht="15" hidden="false" customHeight="false" outlineLevel="0" collapsed="false">
      <c r="A63" s="0" t="s">
        <v>147</v>
      </c>
      <c r="B63" s="0" t="n">
        <v>19</v>
      </c>
      <c r="C63" s="0" t="n">
        <v>4895</v>
      </c>
    </row>
    <row r="64" customFormat="false" ht="15" hidden="false" customHeight="false" outlineLevel="0" collapsed="false">
      <c r="A64" s="0" t="s">
        <v>147</v>
      </c>
      <c r="B64" s="0" t="n">
        <v>20</v>
      </c>
      <c r="C64" s="0" t="n">
        <v>4476</v>
      </c>
    </row>
    <row r="65" customFormat="false" ht="15" hidden="false" customHeight="false" outlineLevel="0" collapsed="false">
      <c r="A65" s="0" t="s">
        <v>147</v>
      </c>
      <c r="B65" s="0" t="n">
        <v>21</v>
      </c>
      <c r="C65" s="0" t="n">
        <v>3039</v>
      </c>
    </row>
    <row r="66" customFormat="false" ht="15" hidden="false" customHeight="false" outlineLevel="0" collapsed="false">
      <c r="A66" s="0" t="s">
        <v>147</v>
      </c>
      <c r="B66" s="0" t="n">
        <v>22</v>
      </c>
      <c r="C66" s="0" t="n">
        <v>5348</v>
      </c>
    </row>
    <row r="67" customFormat="false" ht="15" hidden="false" customHeight="false" outlineLevel="0" collapsed="false">
      <c r="A67" s="0" t="s">
        <v>147</v>
      </c>
      <c r="B67" s="0" t="n">
        <v>23</v>
      </c>
      <c r="C67" s="0" t="n">
        <v>4388</v>
      </c>
    </row>
    <row r="68" customFormat="false" ht="15" hidden="false" customHeight="false" outlineLevel="0" collapsed="false">
      <c r="A68" s="0" t="s">
        <v>147</v>
      </c>
      <c r="B68" s="0" t="n">
        <v>24</v>
      </c>
      <c r="C68" s="0" t="n">
        <v>562</v>
      </c>
    </row>
    <row r="69" customFormat="false" ht="15" hidden="false" customHeight="false" outlineLevel="0" collapsed="false">
      <c r="A69" s="0" t="s">
        <v>147</v>
      </c>
      <c r="B69" s="0" t="n">
        <v>25</v>
      </c>
      <c r="C69" s="0" t="n">
        <v>2012</v>
      </c>
    </row>
    <row r="70" customFormat="false" ht="15" hidden="false" customHeight="false" outlineLevel="0" collapsed="false">
      <c r="A70" s="0" t="s">
        <v>147</v>
      </c>
      <c r="B70" s="0" t="n">
        <v>26</v>
      </c>
      <c r="C70" s="0" t="n">
        <v>3548</v>
      </c>
    </row>
    <row r="71" customFormat="false" ht="15" hidden="false" customHeight="false" outlineLevel="0" collapsed="false">
      <c r="A71" s="0" t="s">
        <v>147</v>
      </c>
      <c r="B71" s="0" t="n">
        <v>27</v>
      </c>
      <c r="C71" s="0" t="n">
        <v>1436</v>
      </c>
    </row>
    <row r="72" customFormat="false" ht="15" hidden="false" customHeight="false" outlineLevel="0" collapsed="false">
      <c r="A72" s="0" t="s">
        <v>147</v>
      </c>
      <c r="B72" s="0" t="n">
        <v>28</v>
      </c>
      <c r="C72" s="0" t="n">
        <v>1836</v>
      </c>
    </row>
    <row r="73" customFormat="false" ht="15" hidden="false" customHeight="false" outlineLevel="0" collapsed="false">
      <c r="A73" s="0" t="s">
        <v>147</v>
      </c>
      <c r="B73" s="0" t="n">
        <v>29</v>
      </c>
      <c r="C73" s="0" t="n">
        <v>1945</v>
      </c>
    </row>
    <row r="74" customFormat="false" ht="15" hidden="false" customHeight="false" outlineLevel="0" collapsed="false">
      <c r="A74" s="0" t="s">
        <v>147</v>
      </c>
      <c r="B74" s="0" t="n">
        <v>30</v>
      </c>
      <c r="C74" s="0" t="n">
        <v>1995</v>
      </c>
    </row>
    <row r="75" customFormat="false" ht="15" hidden="false" customHeight="false" outlineLevel="0" collapsed="false">
      <c r="A75" s="0" t="s">
        <v>147</v>
      </c>
      <c r="B75" s="0" t="n">
        <v>31</v>
      </c>
      <c r="C75" s="0" t="n">
        <v>2593</v>
      </c>
    </row>
    <row r="76" customFormat="false" ht="15" hidden="false" customHeight="false" outlineLevel="0" collapsed="false">
      <c r="A76" s="0" t="s">
        <v>147</v>
      </c>
      <c r="B76" s="0" t="n">
        <v>32</v>
      </c>
      <c r="C76" s="0" t="n">
        <v>2769</v>
      </c>
    </row>
    <row r="77" customFormat="false" ht="15" hidden="false" customHeight="false" outlineLevel="0" collapsed="false">
      <c r="A77" s="0" t="s">
        <v>147</v>
      </c>
      <c r="B77" s="0" t="n">
        <v>33</v>
      </c>
      <c r="C77" s="0" t="n">
        <v>1816</v>
      </c>
    </row>
    <row r="78" customFormat="false" ht="15" hidden="false" customHeight="false" outlineLevel="0" collapsed="false">
      <c r="A78" s="0" t="s">
        <v>147</v>
      </c>
      <c r="B78" s="0" t="n">
        <v>34</v>
      </c>
      <c r="C78" s="0" t="n">
        <v>1320</v>
      </c>
    </row>
    <row r="79" customFormat="false" ht="15" hidden="false" customHeight="false" outlineLevel="0" collapsed="false">
      <c r="A79" s="0" t="s">
        <v>147</v>
      </c>
      <c r="B79" s="0" t="n">
        <v>35</v>
      </c>
      <c r="C79" s="0" t="n">
        <v>2209</v>
      </c>
    </row>
    <row r="80" customFormat="false" ht="15" hidden="false" customHeight="false" outlineLevel="0" collapsed="false">
      <c r="A80" s="0" t="s">
        <v>147</v>
      </c>
      <c r="B80" s="0" t="n">
        <v>36</v>
      </c>
      <c r="C80" s="0" t="n">
        <v>1618</v>
      </c>
    </row>
    <row r="81" customFormat="false" ht="15" hidden="false" customHeight="false" outlineLevel="0" collapsed="false">
      <c r="A81" s="0" t="s">
        <v>147</v>
      </c>
      <c r="B81" s="0" t="n">
        <v>37</v>
      </c>
      <c r="C81" s="0" t="n">
        <v>148</v>
      </c>
    </row>
    <row r="82" customFormat="false" ht="15" hidden="false" customHeight="false" outlineLevel="0" collapsed="false">
      <c r="A82" s="0" t="s">
        <v>147</v>
      </c>
      <c r="B82" s="0" t="n">
        <v>38</v>
      </c>
      <c r="C82" s="0" t="n">
        <v>532</v>
      </c>
    </row>
    <row r="83" customFormat="false" ht="15" hidden="false" customHeight="false" outlineLevel="0" collapsed="false">
      <c r="A83" s="0" t="s">
        <v>147</v>
      </c>
      <c r="B83" s="0" t="n">
        <v>39</v>
      </c>
      <c r="C83" s="0" t="n">
        <v>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2026-10-15T00:45:41Z</dcterms:created>
  <dc:creator>openpyxl</dc:creator>
  <dc:description/>
  <dc:language>en-US</dc:language>
  <cp:lastModifiedBy/>
  <dcterms:modified xsi:type="dcterms:W3CDTF">2026-10-15T00:45:41Z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